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Reconciliation Engine" sheetId="2" state="visible" r:id="rId2"/>
    <sheet xmlns:r="http://schemas.openxmlformats.org/officeDocument/2006/relationships" name="Vendor Invoices (Raw)" sheetId="3" state="visible" r:id="rId3"/>
    <sheet xmlns:r="http://schemas.openxmlformats.org/officeDocument/2006/relationships" name="AP Ledger (Raw)" sheetId="4" state="visible" r:id="rId4"/>
    <sheet xmlns:r="http://schemas.openxmlformats.org/officeDocument/2006/relationships" name="Bank Statements (Raw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$#,##0.00"/>
    <numFmt numFmtId="166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FFFFFF"/>
      <sz val="16"/>
    </font>
    <font>
      <name val="Calibri"/>
      <i val="1"/>
      <color rgb="00D0E1FD"/>
      <sz val="11"/>
    </font>
    <font>
      <name val="Calibri"/>
      <b val="1"/>
      <color rgb="00FFFFFF"/>
      <sz val="9"/>
    </font>
    <font>
      <name val="Calibri"/>
      <b val="1"/>
      <color rgb="001B365D"/>
      <sz val="14"/>
    </font>
    <font>
      <name val="Calibri"/>
      <b val="1"/>
      <color rgb="001B365D"/>
      <sz val="13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  <fill>
      <patternFill patternType="solid">
        <fgColor rgb="00F4F6F9"/>
        <bgColor rgb="00F4F6F9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1B365D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3" fontId="6" fillId="5" borderId="0" applyAlignment="1" pivotButton="0" quotePrefix="0" xfId="0">
      <alignment horizontal="center" vertical="center"/>
    </xf>
    <xf numFmtId="165" fontId="6" fillId="5" borderId="0" applyAlignment="1" pivotButton="0" quotePrefix="0" xfId="0">
      <alignment horizontal="center" vertical="center"/>
    </xf>
    <xf numFmtId="0" fontId="7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8" fillId="0" borderId="1" pivotButton="0" quotePrefix="0" xfId="0"/>
    <xf numFmtId="3" fontId="0" fillId="0" borderId="1" pivotButton="0" quotePrefix="0" xfId="0"/>
    <xf numFmtId="166" fontId="0" fillId="0" borderId="1" pivotButton="0" quotePrefix="0" xfId="0"/>
    <xf numFmtId="165" fontId="0" fillId="0" borderId="1" pivotButton="0" quotePrefix="0" xfId="0"/>
    <xf numFmtId="0" fontId="8" fillId="5" borderId="2" pivotButton="0" quotePrefix="0" xfId="0"/>
    <xf numFmtId="3" fontId="8" fillId="5" borderId="2" pivotButton="0" quotePrefix="0" xfId="0"/>
    <xf numFmtId="166" fontId="8" fillId="5" borderId="2" pivotButton="0" quotePrefix="0" xfId="0"/>
    <xf numFmtId="165" fontId="8" fillId="5" borderId="2" pivotButton="0" quotePrefix="0" xfId="0"/>
    <xf numFmtId="0" fontId="8" fillId="0" borderId="0" pivotButton="0" quotePrefix="0" xfId="0"/>
    <xf numFmtId="0" fontId="2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165" fontId="2" fillId="0" borderId="1" pivotButton="0" quotePrefix="0" xfId="0"/>
    <xf numFmtId="0" fontId="0" fillId="0" borderId="1" pivotButton="0" quotePrefix="0" xfId="0"/>
    <xf numFmtId="164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right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Invoice Count by Reconciliation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Summary'!C10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Summary'!$B$11:$B$14</f>
            </numRef>
          </cat>
          <val>
            <numRef>
              <f>'Executive Summary'!$C$11:$C$14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Reconciliation Status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Invoices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8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6" customWidth="1" min="3" max="3"/>
    <col width="20" customWidth="1" min="4" max="4"/>
    <col width="24" customWidth="1" min="5" max="5"/>
    <col width="18" customWidth="1" min="6" max="6"/>
    <col width="18" customWidth="1" min="7" max="7"/>
    <col width="39" customWidth="1" min="8" max="8"/>
    <col width="12" customWidth="1" min="9" max="9"/>
    <col width="12" customWidth="1" min="10" max="10"/>
  </cols>
  <sheetData>
    <row r="1">
      <c r="A1" s="1" t="inlineStr">
        <is>
          <t>FINANCIAL OPERATIONS AUDIT &amp; RECONCILIATION DASHBOARD</t>
        </is>
      </c>
    </row>
    <row r="2"/>
    <row r="3">
      <c r="A3" s="2" t="inlineStr">
        <is>
          <t>Automated 3-Way Reconciliation Model: Vendor Invoices vs. AP Ledger vs. Bank Disbursements | Project Portfolio</t>
        </is>
      </c>
    </row>
    <row r="4"/>
    <row r="5">
      <c r="B5" s="3" t="inlineStr">
        <is>
          <t>TOTAL INVOICES AUDITED</t>
        </is>
      </c>
      <c r="D5" s="3" t="inlineStr">
        <is>
          <t>TOTAL BILLED VOLUME</t>
        </is>
      </c>
      <c r="F5" s="3" t="inlineStr">
        <is>
          <t>TOTAL RECONCILED</t>
        </is>
      </c>
      <c r="H5" s="3" t="inlineStr">
        <is>
          <t>TOTAL VARIANCE EXPOSURE</t>
        </is>
      </c>
    </row>
    <row r="6">
      <c r="B6" s="4">
        <f>COUNTA('Reconciliation Engine'!A2:A41)</f>
        <v/>
      </c>
      <c r="D6" s="5">
        <f>SUM('Reconciliation Engine'!C2:C41)</f>
        <v/>
      </c>
      <c r="F6" s="5">
        <f>SUMIF('Reconciliation Engine'!H2:H41, "Fully Reconciled", 'Reconciliation Engine'!E2:E41)</f>
        <v/>
      </c>
      <c r="H6" s="5">
        <f>SUM('Reconciliation Engine'!F2:F41)</f>
        <v/>
      </c>
    </row>
    <row r="7"/>
    <row r="8"/>
    <row r="9">
      <c r="B9" s="6" t="inlineStr">
        <is>
          <t>Audit Reconciliation Status Breakdown</t>
        </is>
      </c>
    </row>
    <row r="10">
      <c r="B10" s="7" t="inlineStr">
        <is>
          <t>Reconciliation Status</t>
        </is>
      </c>
      <c r="C10" s="7" t="inlineStr">
        <is>
          <t>Count</t>
        </is>
      </c>
      <c r="D10" s="7" t="inlineStr">
        <is>
          <t>% of Total Volume</t>
        </is>
      </c>
      <c r="E10" s="7" t="inlineStr">
        <is>
          <t>Net Billed Exposure ($)</t>
        </is>
      </c>
    </row>
    <row r="11">
      <c r="B11" s="8" t="inlineStr">
        <is>
          <t>Fully Reconciled</t>
        </is>
      </c>
      <c r="C11" s="9">
        <f>COUNTIF('Reconciliation Engine'!$H$2:$H$41, B11)</f>
        <v/>
      </c>
      <c r="D11" s="10">
        <f>C11/$C$15</f>
        <v/>
      </c>
      <c r="E11" s="11">
        <f>SUMIF('Reconciliation Engine'!$H$2:$H$41, B11, 'Reconciliation Engine'!$C$2:$C$41)</f>
        <v/>
      </c>
    </row>
    <row r="12">
      <c r="B12" s="8" t="inlineStr">
        <is>
          <t>Missing in AP Ledger</t>
        </is>
      </c>
      <c r="C12" s="9">
        <f>COUNTIF('Reconciliation Engine'!$H$2:$H$41, B12)</f>
        <v/>
      </c>
      <c r="D12" s="10">
        <f>C12/$C$15</f>
        <v/>
      </c>
      <c r="E12" s="11">
        <f>SUMIF('Reconciliation Engine'!$H$2:$H$41, B12, 'Reconciliation Engine'!$C$2:$C$41)</f>
        <v/>
      </c>
    </row>
    <row r="13">
      <c r="B13" s="8" t="inlineStr">
        <is>
          <t>Variance Detected</t>
        </is>
      </c>
      <c r="C13" s="9">
        <f>COUNTIF('Reconciliation Engine'!$H$2:$H$41, B13)</f>
        <v/>
      </c>
      <c r="D13" s="10">
        <f>C13/$C$15</f>
        <v/>
      </c>
      <c r="E13" s="11">
        <f>SUMIF('Reconciliation Engine'!$H$2:$H$41, B13, 'Reconciliation Engine'!$C$2:$C$41)</f>
        <v/>
      </c>
    </row>
    <row r="14">
      <c r="B14" s="8" t="inlineStr">
        <is>
          <t>Pending Bank Disbursement</t>
        </is>
      </c>
      <c r="C14" s="9">
        <f>COUNTIF('Reconciliation Engine'!$H$2:$H$41, B14)</f>
        <v/>
      </c>
      <c r="D14" s="10">
        <f>C14/$C$15</f>
        <v/>
      </c>
      <c r="E14" s="11">
        <f>SUMIF('Reconciliation Engine'!$H$2:$H$41, B14, 'Reconciliation Engine'!$C$2:$C$41)</f>
        <v/>
      </c>
    </row>
    <row r="15">
      <c r="B15" s="12" t="inlineStr">
        <is>
          <t>Total Audited Portfolio</t>
        </is>
      </c>
      <c r="C15" s="13">
        <f>SUM(C11:C14)</f>
        <v/>
      </c>
      <c r="D15" s="14">
        <f>SUM(D11:D14)</f>
        <v/>
      </c>
      <c r="E15" s="15">
        <f>SUM(E11:E14)</f>
        <v/>
      </c>
    </row>
    <row r="16"/>
    <row r="17"/>
    <row r="18">
      <c r="B18" s="6" t="inlineStr">
        <is>
          <t>PROJECT PORTFOLIO DOCUMENTATION (FOR RECRUITERS &amp; HIRING MANAGERS)</t>
        </is>
      </c>
    </row>
    <row r="19">
      <c r="B19" s="16" t="inlineStr">
        <is>
          <t>Project Purpose</t>
        </is>
      </c>
      <c r="C19" s="17" t="inlineStr">
        <is>
          <t>Demonstrates institutional-grade 3-way automated matching between procurement, accounting, and cash settlement.</t>
        </is>
      </c>
    </row>
    <row r="20">
      <c r="B20" s="16" t="inlineStr">
        <is>
          <t>Core Technical Skills</t>
        </is>
      </c>
      <c r="C20" s="17" t="inlineStr">
        <is>
          <t>3-Way Reconciliation, Advanced Lookup (INDEX/MATCH, VLOOKUP), Discrepancy Root-Cause Analysis, Financial Controls.</t>
        </is>
      </c>
    </row>
    <row r="21">
      <c r="B21" s="16" t="inlineStr">
        <is>
          <t>Target Roles</t>
        </is>
      </c>
      <c r="C21" s="17" t="inlineStr">
        <is>
          <t>Finance Operations Analyst, Accounts Payable Specialist, Business Operations Analyst, Financial Assurance.</t>
        </is>
      </c>
    </row>
    <row r="22">
      <c r="B22" s="16" t="inlineStr">
        <is>
          <t>Methodology</t>
        </is>
      </c>
      <c r="C22" s="17" t="inlineStr">
        <is>
          <t>Raw vendor invoices are automatically reconciled against AP sub-ledgers and cleared bank statements. Variances exceeding $0.00 trigger automated exception classification and standard audit escalation procedures.</t>
        </is>
      </c>
    </row>
  </sheetData>
  <mergeCells count="14">
    <mergeCell ref="A1:J2"/>
    <mergeCell ref="C22:I22"/>
    <mergeCell ref="H6:I7"/>
    <mergeCell ref="B5:C5"/>
    <mergeCell ref="F5:G5"/>
    <mergeCell ref="D5:E5"/>
    <mergeCell ref="A3:J3"/>
    <mergeCell ref="C20:I20"/>
    <mergeCell ref="C21:I21"/>
    <mergeCell ref="D6:E7"/>
    <mergeCell ref="B6:C7"/>
    <mergeCell ref="H5:I5"/>
    <mergeCell ref="F6:G7"/>
    <mergeCell ref="C19:I19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1" workbookViewId="0">
      <selection activeCell="A1" sqref="A1"/>
    </sheetView>
  </sheetViews>
  <sheetFormatPr baseColWidth="8" defaultRowHeight="15"/>
  <cols>
    <col width="31" customWidth="1" min="1" max="1"/>
    <col width="31" customWidth="1" min="2" max="2"/>
    <col width="31" customWidth="1" min="3" max="3"/>
    <col width="68" customWidth="1" min="4" max="4"/>
    <col width="74" customWidth="1" min="5" max="5"/>
    <col width="29" customWidth="1" min="6" max="6"/>
    <col width="26" customWidth="1" min="7" max="7"/>
    <col width="164" customWidth="1" min="8" max="8"/>
    <col width="184" customWidth="1" min="9" max="9"/>
    <col width="223" customWidth="1" min="10" max="10"/>
  </cols>
  <sheetData>
    <row r="1">
      <c r="A1" s="18" t="inlineStr">
        <is>
          <t>Invoice #</t>
        </is>
      </c>
      <c r="B1" s="18" t="inlineStr">
        <is>
          <t>Vendor Name</t>
        </is>
      </c>
      <c r="C1" s="18" t="inlineStr">
        <is>
          <t>Vendor Billed ($)</t>
        </is>
      </c>
      <c r="D1" s="18" t="inlineStr">
        <is>
          <t>AP Ledger Amount ($)</t>
        </is>
      </c>
      <c r="E1" s="18" t="inlineStr">
        <is>
          <t>Bank Cleared ($)</t>
        </is>
      </c>
      <c r="F1" s="18" t="inlineStr">
        <is>
          <t>Billing vs AP Variance ($)</t>
        </is>
      </c>
      <c r="G1" s="18" t="inlineStr">
        <is>
          <t>AP vs Bank Variance ($)</t>
        </is>
      </c>
      <c r="H1" s="18" t="inlineStr">
        <is>
          <t>Match Status</t>
        </is>
      </c>
      <c r="I1" s="18" t="inlineStr">
        <is>
          <t>Discrepancy Category</t>
        </is>
      </c>
      <c r="J1" s="18" t="inlineStr">
        <is>
          <t>Audit Action Required</t>
        </is>
      </c>
    </row>
    <row r="2">
      <c r="A2" s="19">
        <f>'Vendor Invoices (Raw)'!A2</f>
        <v/>
      </c>
      <c r="B2" s="20">
        <f>'Vendor Invoices (Raw)'!C2</f>
        <v/>
      </c>
      <c r="C2" s="21">
        <f>'Vendor Invoices (Raw)'!I2</f>
        <v/>
      </c>
      <c r="D2" s="21">
        <f>IFERROR(VLOOKUP(A2, 'AP Ledger (Raw)'!$A$2:$I$50, 9, FALSE), 0)</f>
        <v/>
      </c>
      <c r="E2" s="21">
        <f>IFERROR(VLOOKUP(A2, 'Bank Statements (Raw)'!$B$2:$D$50, 3, FALSE), 0)</f>
        <v/>
      </c>
      <c r="F2" s="21">
        <f>ROUND(C2-D2, 2)</f>
        <v/>
      </c>
      <c r="G2" s="21">
        <f>ROUND(D2-E2, 2)</f>
        <v/>
      </c>
      <c r="H2" s="19">
        <f>IF(AND(ABS(F2)&lt;0.01, ABS(G2)&lt;0.01, E2&gt;0), "Fully Reconciled", IF(D2=0, "Missing in AP Ledger", IF(E2=0, "Pending Bank Disbursement", "Variance Detected")))</f>
        <v/>
      </c>
      <c r="I2" s="19">
        <f>IF(H2="Fully Reconciled", "None (Matched)", IF(D2=0, "Unbooked Invoice", IF(E2=0, "Unpaid / In-Transit", IF(ABS(F2)&gt;0.01, "Pricing / Qty Variance", "Bank Settlement Timing"))))</f>
        <v/>
      </c>
      <c r="J2" s="20">
        <f>IF(H2="Fully Reconciled", "No Action Required", IF(H2="Missing in AP Ledger", "Request GRN &amp; PO from Procurement", IF(H2="Pending Bank Disbursement", "Verify Payment Run Batch", "Issue Debit/Credit Note &amp; Dispute")))</f>
        <v/>
      </c>
    </row>
    <row r="3">
      <c r="A3" s="19">
        <f>'Vendor Invoices (Raw)'!A3</f>
        <v/>
      </c>
      <c r="B3" s="20">
        <f>'Vendor Invoices (Raw)'!C3</f>
        <v/>
      </c>
      <c r="C3" s="21">
        <f>'Vendor Invoices (Raw)'!I3</f>
        <v/>
      </c>
      <c r="D3" s="21">
        <f>IFERROR(VLOOKUP(A3, 'AP Ledger (Raw)'!$A$2:$I$50, 9, FALSE), 0)</f>
        <v/>
      </c>
      <c r="E3" s="21">
        <f>IFERROR(VLOOKUP(A3, 'Bank Statements (Raw)'!$B$2:$D$50, 3, FALSE), 0)</f>
        <v/>
      </c>
      <c r="F3" s="21">
        <f>ROUND(C3-D3, 2)</f>
        <v/>
      </c>
      <c r="G3" s="21">
        <f>ROUND(D3-E3, 2)</f>
        <v/>
      </c>
      <c r="H3" s="19">
        <f>IF(AND(ABS(F3)&lt;0.01, ABS(G3)&lt;0.01, E3&gt;0), "Fully Reconciled", IF(D3=0, "Missing in AP Ledger", IF(E3=0, "Pending Bank Disbursement", "Variance Detected")))</f>
        <v/>
      </c>
      <c r="I3" s="19">
        <f>IF(H3="Fully Reconciled", "None (Matched)", IF(D3=0, "Unbooked Invoice", IF(E3=0, "Unpaid / In-Transit", IF(ABS(F3)&gt;0.01, "Pricing / Qty Variance", "Bank Settlement Timing"))))</f>
        <v/>
      </c>
      <c r="J3" s="20">
        <f>IF(H3="Fully Reconciled", "No Action Required", IF(H3="Missing in AP Ledger", "Request GRN &amp; PO from Procurement", IF(H3="Pending Bank Disbursement", "Verify Payment Run Batch", "Issue Debit/Credit Note &amp; Dispute")))</f>
        <v/>
      </c>
    </row>
    <row r="4">
      <c r="A4" s="19">
        <f>'Vendor Invoices (Raw)'!A4</f>
        <v/>
      </c>
      <c r="B4" s="20">
        <f>'Vendor Invoices (Raw)'!C4</f>
        <v/>
      </c>
      <c r="C4" s="21">
        <f>'Vendor Invoices (Raw)'!I4</f>
        <v/>
      </c>
      <c r="D4" s="21">
        <f>IFERROR(VLOOKUP(A4, 'AP Ledger (Raw)'!$A$2:$I$50, 9, FALSE), 0)</f>
        <v/>
      </c>
      <c r="E4" s="21">
        <f>IFERROR(VLOOKUP(A4, 'Bank Statements (Raw)'!$B$2:$D$50, 3, FALSE), 0)</f>
        <v/>
      </c>
      <c r="F4" s="21">
        <f>ROUND(C4-D4, 2)</f>
        <v/>
      </c>
      <c r="G4" s="21">
        <f>ROUND(D4-E4, 2)</f>
        <v/>
      </c>
      <c r="H4" s="19">
        <f>IF(AND(ABS(F4)&lt;0.01, ABS(G4)&lt;0.01, E4&gt;0), "Fully Reconciled", IF(D4=0, "Missing in AP Ledger", IF(E4=0, "Pending Bank Disbursement", "Variance Detected")))</f>
        <v/>
      </c>
      <c r="I4" s="19">
        <f>IF(H4="Fully Reconciled", "None (Matched)", IF(D4=0, "Unbooked Invoice", IF(E4=0, "Unpaid / In-Transit", IF(ABS(F4)&gt;0.01, "Pricing / Qty Variance", "Bank Settlement Timing"))))</f>
        <v/>
      </c>
      <c r="J4" s="20">
        <f>IF(H4="Fully Reconciled", "No Action Required", IF(H4="Missing in AP Ledger", "Request GRN &amp; PO from Procurement", IF(H4="Pending Bank Disbursement", "Verify Payment Run Batch", "Issue Debit/Credit Note &amp; Dispute")))</f>
        <v/>
      </c>
    </row>
    <row r="5">
      <c r="A5" s="19">
        <f>'Vendor Invoices (Raw)'!A5</f>
        <v/>
      </c>
      <c r="B5" s="20">
        <f>'Vendor Invoices (Raw)'!C5</f>
        <v/>
      </c>
      <c r="C5" s="21">
        <f>'Vendor Invoices (Raw)'!I5</f>
        <v/>
      </c>
      <c r="D5" s="21">
        <f>IFERROR(VLOOKUP(A5, 'AP Ledger (Raw)'!$A$2:$I$50, 9, FALSE), 0)</f>
        <v/>
      </c>
      <c r="E5" s="21">
        <f>IFERROR(VLOOKUP(A5, 'Bank Statements (Raw)'!$B$2:$D$50, 3, FALSE), 0)</f>
        <v/>
      </c>
      <c r="F5" s="21">
        <f>ROUND(C5-D5, 2)</f>
        <v/>
      </c>
      <c r="G5" s="21">
        <f>ROUND(D5-E5, 2)</f>
        <v/>
      </c>
      <c r="H5" s="19">
        <f>IF(AND(ABS(F5)&lt;0.01, ABS(G5)&lt;0.01, E5&gt;0), "Fully Reconciled", IF(D5=0, "Missing in AP Ledger", IF(E5=0, "Pending Bank Disbursement", "Variance Detected")))</f>
        <v/>
      </c>
      <c r="I5" s="19">
        <f>IF(H5="Fully Reconciled", "None (Matched)", IF(D5=0, "Unbooked Invoice", IF(E5=0, "Unpaid / In-Transit", IF(ABS(F5)&gt;0.01, "Pricing / Qty Variance", "Bank Settlement Timing"))))</f>
        <v/>
      </c>
      <c r="J5" s="20">
        <f>IF(H5="Fully Reconciled", "No Action Required", IF(H5="Missing in AP Ledger", "Request GRN &amp; PO from Procurement", IF(H5="Pending Bank Disbursement", "Verify Payment Run Batch", "Issue Debit/Credit Note &amp; Dispute")))</f>
        <v/>
      </c>
    </row>
    <row r="6">
      <c r="A6" s="19">
        <f>'Vendor Invoices (Raw)'!A6</f>
        <v/>
      </c>
      <c r="B6" s="20">
        <f>'Vendor Invoices (Raw)'!C6</f>
        <v/>
      </c>
      <c r="C6" s="21">
        <f>'Vendor Invoices (Raw)'!I6</f>
        <v/>
      </c>
      <c r="D6" s="21">
        <f>IFERROR(VLOOKUP(A6, 'AP Ledger (Raw)'!$A$2:$I$50, 9, FALSE), 0)</f>
        <v/>
      </c>
      <c r="E6" s="21">
        <f>IFERROR(VLOOKUP(A6, 'Bank Statements (Raw)'!$B$2:$D$50, 3, FALSE), 0)</f>
        <v/>
      </c>
      <c r="F6" s="21">
        <f>ROUND(C6-D6, 2)</f>
        <v/>
      </c>
      <c r="G6" s="21">
        <f>ROUND(D6-E6, 2)</f>
        <v/>
      </c>
      <c r="H6" s="19">
        <f>IF(AND(ABS(F6)&lt;0.01, ABS(G6)&lt;0.01, E6&gt;0), "Fully Reconciled", IF(D6=0, "Missing in AP Ledger", IF(E6=0, "Pending Bank Disbursement", "Variance Detected")))</f>
        <v/>
      </c>
      <c r="I6" s="19">
        <f>IF(H6="Fully Reconciled", "None (Matched)", IF(D6=0, "Unbooked Invoice", IF(E6=0, "Unpaid / In-Transit", IF(ABS(F6)&gt;0.01, "Pricing / Qty Variance", "Bank Settlement Timing"))))</f>
        <v/>
      </c>
      <c r="J6" s="20">
        <f>IF(H6="Fully Reconciled", "No Action Required", IF(H6="Missing in AP Ledger", "Request GRN &amp; PO from Procurement", IF(H6="Pending Bank Disbursement", "Verify Payment Run Batch", "Issue Debit/Credit Note &amp; Dispute")))</f>
        <v/>
      </c>
    </row>
    <row r="7">
      <c r="A7" s="19">
        <f>'Vendor Invoices (Raw)'!A7</f>
        <v/>
      </c>
      <c r="B7" s="20">
        <f>'Vendor Invoices (Raw)'!C7</f>
        <v/>
      </c>
      <c r="C7" s="21">
        <f>'Vendor Invoices (Raw)'!I7</f>
        <v/>
      </c>
      <c r="D7" s="21">
        <f>IFERROR(VLOOKUP(A7, 'AP Ledger (Raw)'!$A$2:$I$50, 9, FALSE), 0)</f>
        <v/>
      </c>
      <c r="E7" s="21">
        <f>IFERROR(VLOOKUP(A7, 'Bank Statements (Raw)'!$B$2:$D$50, 3, FALSE), 0)</f>
        <v/>
      </c>
      <c r="F7" s="21">
        <f>ROUND(C7-D7, 2)</f>
        <v/>
      </c>
      <c r="G7" s="21">
        <f>ROUND(D7-E7, 2)</f>
        <v/>
      </c>
      <c r="H7" s="19">
        <f>IF(AND(ABS(F7)&lt;0.01, ABS(G7)&lt;0.01, E7&gt;0), "Fully Reconciled", IF(D7=0, "Missing in AP Ledger", IF(E7=0, "Pending Bank Disbursement", "Variance Detected")))</f>
        <v/>
      </c>
      <c r="I7" s="19">
        <f>IF(H7="Fully Reconciled", "None (Matched)", IF(D7=0, "Unbooked Invoice", IF(E7=0, "Unpaid / In-Transit", IF(ABS(F7)&gt;0.01, "Pricing / Qty Variance", "Bank Settlement Timing"))))</f>
        <v/>
      </c>
      <c r="J7" s="20">
        <f>IF(H7="Fully Reconciled", "No Action Required", IF(H7="Missing in AP Ledger", "Request GRN &amp; PO from Procurement", IF(H7="Pending Bank Disbursement", "Verify Payment Run Batch", "Issue Debit/Credit Note &amp; Dispute")))</f>
        <v/>
      </c>
    </row>
    <row r="8">
      <c r="A8" s="19">
        <f>'Vendor Invoices (Raw)'!A8</f>
        <v/>
      </c>
      <c r="B8" s="20">
        <f>'Vendor Invoices (Raw)'!C8</f>
        <v/>
      </c>
      <c r="C8" s="21">
        <f>'Vendor Invoices (Raw)'!I8</f>
        <v/>
      </c>
      <c r="D8" s="21">
        <f>IFERROR(VLOOKUP(A8, 'AP Ledger (Raw)'!$A$2:$I$50, 9, FALSE), 0)</f>
        <v/>
      </c>
      <c r="E8" s="21">
        <f>IFERROR(VLOOKUP(A8, 'Bank Statements (Raw)'!$B$2:$D$50, 3, FALSE), 0)</f>
        <v/>
      </c>
      <c r="F8" s="21">
        <f>ROUND(C8-D8, 2)</f>
        <v/>
      </c>
      <c r="G8" s="21">
        <f>ROUND(D8-E8, 2)</f>
        <v/>
      </c>
      <c r="H8" s="19">
        <f>IF(AND(ABS(F8)&lt;0.01, ABS(G8)&lt;0.01, E8&gt;0), "Fully Reconciled", IF(D8=0, "Missing in AP Ledger", IF(E8=0, "Pending Bank Disbursement", "Variance Detected")))</f>
        <v/>
      </c>
      <c r="I8" s="19">
        <f>IF(H8="Fully Reconciled", "None (Matched)", IF(D8=0, "Unbooked Invoice", IF(E8=0, "Unpaid / In-Transit", IF(ABS(F8)&gt;0.01, "Pricing / Qty Variance", "Bank Settlement Timing"))))</f>
        <v/>
      </c>
      <c r="J8" s="20">
        <f>IF(H8="Fully Reconciled", "No Action Required", IF(H8="Missing in AP Ledger", "Request GRN &amp; PO from Procurement", IF(H8="Pending Bank Disbursement", "Verify Payment Run Batch", "Issue Debit/Credit Note &amp; Dispute")))</f>
        <v/>
      </c>
    </row>
    <row r="9">
      <c r="A9" s="19">
        <f>'Vendor Invoices (Raw)'!A9</f>
        <v/>
      </c>
      <c r="B9" s="20">
        <f>'Vendor Invoices (Raw)'!C9</f>
        <v/>
      </c>
      <c r="C9" s="21">
        <f>'Vendor Invoices (Raw)'!I9</f>
        <v/>
      </c>
      <c r="D9" s="21">
        <f>IFERROR(VLOOKUP(A9, 'AP Ledger (Raw)'!$A$2:$I$50, 9, FALSE), 0)</f>
        <v/>
      </c>
      <c r="E9" s="21">
        <f>IFERROR(VLOOKUP(A9, 'Bank Statements (Raw)'!$B$2:$D$50, 3, FALSE), 0)</f>
        <v/>
      </c>
      <c r="F9" s="21">
        <f>ROUND(C9-D9, 2)</f>
        <v/>
      </c>
      <c r="G9" s="21">
        <f>ROUND(D9-E9, 2)</f>
        <v/>
      </c>
      <c r="H9" s="19">
        <f>IF(AND(ABS(F9)&lt;0.01, ABS(G9)&lt;0.01, E9&gt;0), "Fully Reconciled", IF(D9=0, "Missing in AP Ledger", IF(E9=0, "Pending Bank Disbursement", "Variance Detected")))</f>
        <v/>
      </c>
      <c r="I9" s="19">
        <f>IF(H9="Fully Reconciled", "None (Matched)", IF(D9=0, "Unbooked Invoice", IF(E9=0, "Unpaid / In-Transit", IF(ABS(F9)&gt;0.01, "Pricing / Qty Variance", "Bank Settlement Timing"))))</f>
        <v/>
      </c>
      <c r="J9" s="20">
        <f>IF(H9="Fully Reconciled", "No Action Required", IF(H9="Missing in AP Ledger", "Request GRN &amp; PO from Procurement", IF(H9="Pending Bank Disbursement", "Verify Payment Run Batch", "Issue Debit/Credit Note &amp; Dispute")))</f>
        <v/>
      </c>
    </row>
    <row r="10">
      <c r="A10" s="19">
        <f>'Vendor Invoices (Raw)'!A10</f>
        <v/>
      </c>
      <c r="B10" s="20">
        <f>'Vendor Invoices (Raw)'!C10</f>
        <v/>
      </c>
      <c r="C10" s="21">
        <f>'Vendor Invoices (Raw)'!I10</f>
        <v/>
      </c>
      <c r="D10" s="21">
        <f>IFERROR(VLOOKUP(A10, 'AP Ledger (Raw)'!$A$2:$I$50, 9, FALSE), 0)</f>
        <v/>
      </c>
      <c r="E10" s="21">
        <f>IFERROR(VLOOKUP(A10, 'Bank Statements (Raw)'!$B$2:$D$50, 3, FALSE), 0)</f>
        <v/>
      </c>
      <c r="F10" s="21">
        <f>ROUND(C10-D10, 2)</f>
        <v/>
      </c>
      <c r="G10" s="21">
        <f>ROUND(D10-E10, 2)</f>
        <v/>
      </c>
      <c r="H10" s="19">
        <f>IF(AND(ABS(F10)&lt;0.01, ABS(G10)&lt;0.01, E10&gt;0), "Fully Reconciled", IF(D10=0, "Missing in AP Ledger", IF(E10=0, "Pending Bank Disbursement", "Variance Detected")))</f>
        <v/>
      </c>
      <c r="I10" s="19">
        <f>IF(H10="Fully Reconciled", "None (Matched)", IF(D10=0, "Unbooked Invoice", IF(E10=0, "Unpaid / In-Transit", IF(ABS(F10)&gt;0.01, "Pricing / Qty Variance", "Bank Settlement Timing"))))</f>
        <v/>
      </c>
      <c r="J10" s="20">
        <f>IF(H10="Fully Reconciled", "No Action Required", IF(H10="Missing in AP Ledger", "Request GRN &amp; PO from Procurement", IF(H10="Pending Bank Disbursement", "Verify Payment Run Batch", "Issue Debit/Credit Note &amp; Dispute")))</f>
        <v/>
      </c>
    </row>
    <row r="11">
      <c r="A11" s="19">
        <f>'Vendor Invoices (Raw)'!A11</f>
        <v/>
      </c>
      <c r="B11" s="20">
        <f>'Vendor Invoices (Raw)'!C11</f>
        <v/>
      </c>
      <c r="C11" s="21">
        <f>'Vendor Invoices (Raw)'!I11</f>
        <v/>
      </c>
      <c r="D11" s="21">
        <f>IFERROR(VLOOKUP(A11, 'AP Ledger (Raw)'!$A$2:$I$50, 9, FALSE), 0)</f>
        <v/>
      </c>
      <c r="E11" s="21">
        <f>IFERROR(VLOOKUP(A11, 'Bank Statements (Raw)'!$B$2:$D$50, 3, FALSE), 0)</f>
        <v/>
      </c>
      <c r="F11" s="21">
        <f>ROUND(C11-D11, 2)</f>
        <v/>
      </c>
      <c r="G11" s="21">
        <f>ROUND(D11-E11, 2)</f>
        <v/>
      </c>
      <c r="H11" s="19">
        <f>IF(AND(ABS(F11)&lt;0.01, ABS(G11)&lt;0.01, E11&gt;0), "Fully Reconciled", IF(D11=0, "Missing in AP Ledger", IF(E11=0, "Pending Bank Disbursement", "Variance Detected")))</f>
        <v/>
      </c>
      <c r="I11" s="19">
        <f>IF(H11="Fully Reconciled", "None (Matched)", IF(D11=0, "Unbooked Invoice", IF(E11=0, "Unpaid / In-Transit", IF(ABS(F11)&gt;0.01, "Pricing / Qty Variance", "Bank Settlement Timing"))))</f>
        <v/>
      </c>
      <c r="J11" s="20">
        <f>IF(H11="Fully Reconciled", "No Action Required", IF(H11="Missing in AP Ledger", "Request GRN &amp; PO from Procurement", IF(H11="Pending Bank Disbursement", "Verify Payment Run Batch", "Issue Debit/Credit Note &amp; Dispute")))</f>
        <v/>
      </c>
    </row>
    <row r="12">
      <c r="A12" s="19">
        <f>'Vendor Invoices (Raw)'!A12</f>
        <v/>
      </c>
      <c r="B12" s="20">
        <f>'Vendor Invoices (Raw)'!C12</f>
        <v/>
      </c>
      <c r="C12" s="21">
        <f>'Vendor Invoices (Raw)'!I12</f>
        <v/>
      </c>
      <c r="D12" s="21">
        <f>IFERROR(VLOOKUP(A12, 'AP Ledger (Raw)'!$A$2:$I$50, 9, FALSE), 0)</f>
        <v/>
      </c>
      <c r="E12" s="21">
        <f>IFERROR(VLOOKUP(A12, 'Bank Statements (Raw)'!$B$2:$D$50, 3, FALSE), 0)</f>
        <v/>
      </c>
      <c r="F12" s="21">
        <f>ROUND(C12-D12, 2)</f>
        <v/>
      </c>
      <c r="G12" s="21">
        <f>ROUND(D12-E12, 2)</f>
        <v/>
      </c>
      <c r="H12" s="19">
        <f>IF(AND(ABS(F12)&lt;0.01, ABS(G12)&lt;0.01, E12&gt;0), "Fully Reconciled", IF(D12=0, "Missing in AP Ledger", IF(E12=0, "Pending Bank Disbursement", "Variance Detected")))</f>
        <v/>
      </c>
      <c r="I12" s="19">
        <f>IF(H12="Fully Reconciled", "None (Matched)", IF(D12=0, "Unbooked Invoice", IF(E12=0, "Unpaid / In-Transit", IF(ABS(F12)&gt;0.01, "Pricing / Qty Variance", "Bank Settlement Timing"))))</f>
        <v/>
      </c>
      <c r="J12" s="20">
        <f>IF(H12="Fully Reconciled", "No Action Required", IF(H12="Missing in AP Ledger", "Request GRN &amp; PO from Procurement", IF(H12="Pending Bank Disbursement", "Verify Payment Run Batch", "Issue Debit/Credit Note &amp; Dispute")))</f>
        <v/>
      </c>
    </row>
    <row r="13">
      <c r="A13" s="19">
        <f>'Vendor Invoices (Raw)'!A13</f>
        <v/>
      </c>
      <c r="B13" s="20">
        <f>'Vendor Invoices (Raw)'!C13</f>
        <v/>
      </c>
      <c r="C13" s="21">
        <f>'Vendor Invoices (Raw)'!I13</f>
        <v/>
      </c>
      <c r="D13" s="21">
        <f>IFERROR(VLOOKUP(A13, 'AP Ledger (Raw)'!$A$2:$I$50, 9, FALSE), 0)</f>
        <v/>
      </c>
      <c r="E13" s="21">
        <f>IFERROR(VLOOKUP(A13, 'Bank Statements (Raw)'!$B$2:$D$50, 3, FALSE), 0)</f>
        <v/>
      </c>
      <c r="F13" s="21">
        <f>ROUND(C13-D13, 2)</f>
        <v/>
      </c>
      <c r="G13" s="21">
        <f>ROUND(D13-E13, 2)</f>
        <v/>
      </c>
      <c r="H13" s="19">
        <f>IF(AND(ABS(F13)&lt;0.01, ABS(G13)&lt;0.01, E13&gt;0), "Fully Reconciled", IF(D13=0, "Missing in AP Ledger", IF(E13=0, "Pending Bank Disbursement", "Variance Detected")))</f>
        <v/>
      </c>
      <c r="I13" s="19">
        <f>IF(H13="Fully Reconciled", "None (Matched)", IF(D13=0, "Unbooked Invoice", IF(E13=0, "Unpaid / In-Transit", IF(ABS(F13)&gt;0.01, "Pricing / Qty Variance", "Bank Settlement Timing"))))</f>
        <v/>
      </c>
      <c r="J13" s="20">
        <f>IF(H13="Fully Reconciled", "No Action Required", IF(H13="Missing in AP Ledger", "Request GRN &amp; PO from Procurement", IF(H13="Pending Bank Disbursement", "Verify Payment Run Batch", "Issue Debit/Credit Note &amp; Dispute")))</f>
        <v/>
      </c>
    </row>
    <row r="14">
      <c r="A14" s="19">
        <f>'Vendor Invoices (Raw)'!A14</f>
        <v/>
      </c>
      <c r="B14" s="20">
        <f>'Vendor Invoices (Raw)'!C14</f>
        <v/>
      </c>
      <c r="C14" s="21">
        <f>'Vendor Invoices (Raw)'!I14</f>
        <v/>
      </c>
      <c r="D14" s="21">
        <f>IFERROR(VLOOKUP(A14, 'AP Ledger (Raw)'!$A$2:$I$50, 9, FALSE), 0)</f>
        <v/>
      </c>
      <c r="E14" s="21">
        <f>IFERROR(VLOOKUP(A14, 'Bank Statements (Raw)'!$B$2:$D$50, 3, FALSE), 0)</f>
        <v/>
      </c>
      <c r="F14" s="21">
        <f>ROUND(C14-D14, 2)</f>
        <v/>
      </c>
      <c r="G14" s="21">
        <f>ROUND(D14-E14, 2)</f>
        <v/>
      </c>
      <c r="H14" s="19">
        <f>IF(AND(ABS(F14)&lt;0.01, ABS(G14)&lt;0.01, E14&gt;0), "Fully Reconciled", IF(D14=0, "Missing in AP Ledger", IF(E14=0, "Pending Bank Disbursement", "Variance Detected")))</f>
        <v/>
      </c>
      <c r="I14" s="19">
        <f>IF(H14="Fully Reconciled", "None (Matched)", IF(D14=0, "Unbooked Invoice", IF(E14=0, "Unpaid / In-Transit", IF(ABS(F14)&gt;0.01, "Pricing / Qty Variance", "Bank Settlement Timing"))))</f>
        <v/>
      </c>
      <c r="J14" s="20">
        <f>IF(H14="Fully Reconciled", "No Action Required", IF(H14="Missing in AP Ledger", "Request GRN &amp; PO from Procurement", IF(H14="Pending Bank Disbursement", "Verify Payment Run Batch", "Issue Debit/Credit Note &amp; Dispute")))</f>
        <v/>
      </c>
    </row>
    <row r="15">
      <c r="A15" s="19">
        <f>'Vendor Invoices (Raw)'!A15</f>
        <v/>
      </c>
      <c r="B15" s="20">
        <f>'Vendor Invoices (Raw)'!C15</f>
        <v/>
      </c>
      <c r="C15" s="21">
        <f>'Vendor Invoices (Raw)'!I15</f>
        <v/>
      </c>
      <c r="D15" s="21">
        <f>IFERROR(VLOOKUP(A15, 'AP Ledger (Raw)'!$A$2:$I$50, 9, FALSE), 0)</f>
        <v/>
      </c>
      <c r="E15" s="21">
        <f>IFERROR(VLOOKUP(A15, 'Bank Statements (Raw)'!$B$2:$D$50, 3, FALSE), 0)</f>
        <v/>
      </c>
      <c r="F15" s="21">
        <f>ROUND(C15-D15, 2)</f>
        <v/>
      </c>
      <c r="G15" s="21">
        <f>ROUND(D15-E15, 2)</f>
        <v/>
      </c>
      <c r="H15" s="19">
        <f>IF(AND(ABS(F15)&lt;0.01, ABS(G15)&lt;0.01, E15&gt;0), "Fully Reconciled", IF(D15=0, "Missing in AP Ledger", IF(E15=0, "Pending Bank Disbursement", "Variance Detected")))</f>
        <v/>
      </c>
      <c r="I15" s="19">
        <f>IF(H15="Fully Reconciled", "None (Matched)", IF(D15=0, "Unbooked Invoice", IF(E15=0, "Unpaid / In-Transit", IF(ABS(F15)&gt;0.01, "Pricing / Qty Variance", "Bank Settlement Timing"))))</f>
        <v/>
      </c>
      <c r="J15" s="20">
        <f>IF(H15="Fully Reconciled", "No Action Required", IF(H15="Missing in AP Ledger", "Request GRN &amp; PO from Procurement", IF(H15="Pending Bank Disbursement", "Verify Payment Run Batch", "Issue Debit/Credit Note &amp; Dispute")))</f>
        <v/>
      </c>
    </row>
    <row r="16">
      <c r="A16" s="19">
        <f>'Vendor Invoices (Raw)'!A16</f>
        <v/>
      </c>
      <c r="B16" s="20">
        <f>'Vendor Invoices (Raw)'!C16</f>
        <v/>
      </c>
      <c r="C16" s="21">
        <f>'Vendor Invoices (Raw)'!I16</f>
        <v/>
      </c>
      <c r="D16" s="21">
        <f>IFERROR(VLOOKUP(A16, 'AP Ledger (Raw)'!$A$2:$I$50, 9, FALSE), 0)</f>
        <v/>
      </c>
      <c r="E16" s="21">
        <f>IFERROR(VLOOKUP(A16, 'Bank Statements (Raw)'!$B$2:$D$50, 3, FALSE), 0)</f>
        <v/>
      </c>
      <c r="F16" s="21">
        <f>ROUND(C16-D16, 2)</f>
        <v/>
      </c>
      <c r="G16" s="21">
        <f>ROUND(D16-E16, 2)</f>
        <v/>
      </c>
      <c r="H16" s="19">
        <f>IF(AND(ABS(F16)&lt;0.01, ABS(G16)&lt;0.01, E16&gt;0), "Fully Reconciled", IF(D16=0, "Missing in AP Ledger", IF(E16=0, "Pending Bank Disbursement", "Variance Detected")))</f>
        <v/>
      </c>
      <c r="I16" s="19">
        <f>IF(H16="Fully Reconciled", "None (Matched)", IF(D16=0, "Unbooked Invoice", IF(E16=0, "Unpaid / In-Transit", IF(ABS(F16)&gt;0.01, "Pricing / Qty Variance", "Bank Settlement Timing"))))</f>
        <v/>
      </c>
      <c r="J16" s="20">
        <f>IF(H16="Fully Reconciled", "No Action Required", IF(H16="Missing in AP Ledger", "Request GRN &amp; PO from Procurement", IF(H16="Pending Bank Disbursement", "Verify Payment Run Batch", "Issue Debit/Credit Note &amp; Dispute")))</f>
        <v/>
      </c>
    </row>
    <row r="17">
      <c r="A17" s="19">
        <f>'Vendor Invoices (Raw)'!A17</f>
        <v/>
      </c>
      <c r="B17" s="20">
        <f>'Vendor Invoices (Raw)'!C17</f>
        <v/>
      </c>
      <c r="C17" s="21">
        <f>'Vendor Invoices (Raw)'!I17</f>
        <v/>
      </c>
      <c r="D17" s="21">
        <f>IFERROR(VLOOKUP(A17, 'AP Ledger (Raw)'!$A$2:$I$50, 9, FALSE), 0)</f>
        <v/>
      </c>
      <c r="E17" s="21">
        <f>IFERROR(VLOOKUP(A17, 'Bank Statements (Raw)'!$B$2:$D$50, 3, FALSE), 0)</f>
        <v/>
      </c>
      <c r="F17" s="21">
        <f>ROUND(C17-D17, 2)</f>
        <v/>
      </c>
      <c r="G17" s="21">
        <f>ROUND(D17-E17, 2)</f>
        <v/>
      </c>
      <c r="H17" s="19">
        <f>IF(AND(ABS(F17)&lt;0.01, ABS(G17)&lt;0.01, E17&gt;0), "Fully Reconciled", IF(D17=0, "Missing in AP Ledger", IF(E17=0, "Pending Bank Disbursement", "Variance Detected")))</f>
        <v/>
      </c>
      <c r="I17" s="19">
        <f>IF(H17="Fully Reconciled", "None (Matched)", IF(D17=0, "Unbooked Invoice", IF(E17=0, "Unpaid / In-Transit", IF(ABS(F17)&gt;0.01, "Pricing / Qty Variance", "Bank Settlement Timing"))))</f>
        <v/>
      </c>
      <c r="J17" s="20">
        <f>IF(H17="Fully Reconciled", "No Action Required", IF(H17="Missing in AP Ledger", "Request GRN &amp; PO from Procurement", IF(H17="Pending Bank Disbursement", "Verify Payment Run Batch", "Issue Debit/Credit Note &amp; Dispute")))</f>
        <v/>
      </c>
    </row>
    <row r="18">
      <c r="A18" s="19">
        <f>'Vendor Invoices (Raw)'!A18</f>
        <v/>
      </c>
      <c r="B18" s="20">
        <f>'Vendor Invoices (Raw)'!C18</f>
        <v/>
      </c>
      <c r="C18" s="21">
        <f>'Vendor Invoices (Raw)'!I18</f>
        <v/>
      </c>
      <c r="D18" s="21">
        <f>IFERROR(VLOOKUP(A18, 'AP Ledger (Raw)'!$A$2:$I$50, 9, FALSE), 0)</f>
        <v/>
      </c>
      <c r="E18" s="21">
        <f>IFERROR(VLOOKUP(A18, 'Bank Statements (Raw)'!$B$2:$D$50, 3, FALSE), 0)</f>
        <v/>
      </c>
      <c r="F18" s="21">
        <f>ROUND(C18-D18, 2)</f>
        <v/>
      </c>
      <c r="G18" s="21">
        <f>ROUND(D18-E18, 2)</f>
        <v/>
      </c>
      <c r="H18" s="19">
        <f>IF(AND(ABS(F18)&lt;0.01, ABS(G18)&lt;0.01, E18&gt;0), "Fully Reconciled", IF(D18=0, "Missing in AP Ledger", IF(E18=0, "Pending Bank Disbursement", "Variance Detected")))</f>
        <v/>
      </c>
      <c r="I18" s="19">
        <f>IF(H18="Fully Reconciled", "None (Matched)", IF(D18=0, "Unbooked Invoice", IF(E18=0, "Unpaid / In-Transit", IF(ABS(F18)&gt;0.01, "Pricing / Qty Variance", "Bank Settlement Timing"))))</f>
        <v/>
      </c>
      <c r="J18" s="20">
        <f>IF(H18="Fully Reconciled", "No Action Required", IF(H18="Missing in AP Ledger", "Request GRN &amp; PO from Procurement", IF(H18="Pending Bank Disbursement", "Verify Payment Run Batch", "Issue Debit/Credit Note &amp; Dispute")))</f>
        <v/>
      </c>
    </row>
    <row r="19">
      <c r="A19" s="19">
        <f>'Vendor Invoices (Raw)'!A19</f>
        <v/>
      </c>
      <c r="B19" s="20">
        <f>'Vendor Invoices (Raw)'!C19</f>
        <v/>
      </c>
      <c r="C19" s="21">
        <f>'Vendor Invoices (Raw)'!I19</f>
        <v/>
      </c>
      <c r="D19" s="21">
        <f>IFERROR(VLOOKUP(A19, 'AP Ledger (Raw)'!$A$2:$I$50, 9, FALSE), 0)</f>
        <v/>
      </c>
      <c r="E19" s="21">
        <f>IFERROR(VLOOKUP(A19, 'Bank Statements (Raw)'!$B$2:$D$50, 3, FALSE), 0)</f>
        <v/>
      </c>
      <c r="F19" s="21">
        <f>ROUND(C19-D19, 2)</f>
        <v/>
      </c>
      <c r="G19" s="21">
        <f>ROUND(D19-E19, 2)</f>
        <v/>
      </c>
      <c r="H19" s="19">
        <f>IF(AND(ABS(F19)&lt;0.01, ABS(G19)&lt;0.01, E19&gt;0), "Fully Reconciled", IF(D19=0, "Missing in AP Ledger", IF(E19=0, "Pending Bank Disbursement", "Variance Detected")))</f>
        <v/>
      </c>
      <c r="I19" s="19">
        <f>IF(H19="Fully Reconciled", "None (Matched)", IF(D19=0, "Unbooked Invoice", IF(E19=0, "Unpaid / In-Transit", IF(ABS(F19)&gt;0.01, "Pricing / Qty Variance", "Bank Settlement Timing"))))</f>
        <v/>
      </c>
      <c r="J19" s="20">
        <f>IF(H19="Fully Reconciled", "No Action Required", IF(H19="Missing in AP Ledger", "Request GRN &amp; PO from Procurement", IF(H19="Pending Bank Disbursement", "Verify Payment Run Batch", "Issue Debit/Credit Note &amp; Dispute")))</f>
        <v/>
      </c>
    </row>
    <row r="20">
      <c r="A20" s="19">
        <f>'Vendor Invoices (Raw)'!A20</f>
        <v/>
      </c>
      <c r="B20" s="20">
        <f>'Vendor Invoices (Raw)'!C20</f>
        <v/>
      </c>
      <c r="C20" s="21">
        <f>'Vendor Invoices (Raw)'!I20</f>
        <v/>
      </c>
      <c r="D20" s="21">
        <f>IFERROR(VLOOKUP(A20, 'AP Ledger (Raw)'!$A$2:$I$50, 9, FALSE), 0)</f>
        <v/>
      </c>
      <c r="E20" s="21">
        <f>IFERROR(VLOOKUP(A20, 'Bank Statements (Raw)'!$B$2:$D$50, 3, FALSE), 0)</f>
        <v/>
      </c>
      <c r="F20" s="21">
        <f>ROUND(C20-D20, 2)</f>
        <v/>
      </c>
      <c r="G20" s="21">
        <f>ROUND(D20-E20, 2)</f>
        <v/>
      </c>
      <c r="H20" s="19">
        <f>IF(AND(ABS(F20)&lt;0.01, ABS(G20)&lt;0.01, E20&gt;0), "Fully Reconciled", IF(D20=0, "Missing in AP Ledger", IF(E20=0, "Pending Bank Disbursement", "Variance Detected")))</f>
        <v/>
      </c>
      <c r="I20" s="19">
        <f>IF(H20="Fully Reconciled", "None (Matched)", IF(D20=0, "Unbooked Invoice", IF(E20=0, "Unpaid / In-Transit", IF(ABS(F20)&gt;0.01, "Pricing / Qty Variance", "Bank Settlement Timing"))))</f>
        <v/>
      </c>
      <c r="J20" s="20">
        <f>IF(H20="Fully Reconciled", "No Action Required", IF(H20="Missing in AP Ledger", "Request GRN &amp; PO from Procurement", IF(H20="Pending Bank Disbursement", "Verify Payment Run Batch", "Issue Debit/Credit Note &amp; Dispute")))</f>
        <v/>
      </c>
    </row>
    <row r="21">
      <c r="A21" s="19">
        <f>'Vendor Invoices (Raw)'!A21</f>
        <v/>
      </c>
      <c r="B21" s="20">
        <f>'Vendor Invoices (Raw)'!C21</f>
        <v/>
      </c>
      <c r="C21" s="21">
        <f>'Vendor Invoices (Raw)'!I21</f>
        <v/>
      </c>
      <c r="D21" s="21">
        <f>IFERROR(VLOOKUP(A21, 'AP Ledger (Raw)'!$A$2:$I$50, 9, FALSE), 0)</f>
        <v/>
      </c>
      <c r="E21" s="21">
        <f>IFERROR(VLOOKUP(A21, 'Bank Statements (Raw)'!$B$2:$D$50, 3, FALSE), 0)</f>
        <v/>
      </c>
      <c r="F21" s="21">
        <f>ROUND(C21-D21, 2)</f>
        <v/>
      </c>
      <c r="G21" s="21">
        <f>ROUND(D21-E21, 2)</f>
        <v/>
      </c>
      <c r="H21" s="19">
        <f>IF(AND(ABS(F21)&lt;0.01, ABS(G21)&lt;0.01, E21&gt;0), "Fully Reconciled", IF(D21=0, "Missing in AP Ledger", IF(E21=0, "Pending Bank Disbursement", "Variance Detected")))</f>
        <v/>
      </c>
      <c r="I21" s="19">
        <f>IF(H21="Fully Reconciled", "None (Matched)", IF(D21=0, "Unbooked Invoice", IF(E21=0, "Unpaid / In-Transit", IF(ABS(F21)&gt;0.01, "Pricing / Qty Variance", "Bank Settlement Timing"))))</f>
        <v/>
      </c>
      <c r="J21" s="20">
        <f>IF(H21="Fully Reconciled", "No Action Required", IF(H21="Missing in AP Ledger", "Request GRN &amp; PO from Procurement", IF(H21="Pending Bank Disbursement", "Verify Payment Run Batch", "Issue Debit/Credit Note &amp; Dispute")))</f>
        <v/>
      </c>
    </row>
    <row r="22">
      <c r="A22" s="19">
        <f>'Vendor Invoices (Raw)'!A22</f>
        <v/>
      </c>
      <c r="B22" s="20">
        <f>'Vendor Invoices (Raw)'!C22</f>
        <v/>
      </c>
      <c r="C22" s="21">
        <f>'Vendor Invoices (Raw)'!I22</f>
        <v/>
      </c>
      <c r="D22" s="21">
        <f>IFERROR(VLOOKUP(A22, 'AP Ledger (Raw)'!$A$2:$I$50, 9, FALSE), 0)</f>
        <v/>
      </c>
      <c r="E22" s="21">
        <f>IFERROR(VLOOKUP(A22, 'Bank Statements (Raw)'!$B$2:$D$50, 3, FALSE), 0)</f>
        <v/>
      </c>
      <c r="F22" s="21">
        <f>ROUND(C22-D22, 2)</f>
        <v/>
      </c>
      <c r="G22" s="21">
        <f>ROUND(D22-E22, 2)</f>
        <v/>
      </c>
      <c r="H22" s="19">
        <f>IF(AND(ABS(F22)&lt;0.01, ABS(G22)&lt;0.01, E22&gt;0), "Fully Reconciled", IF(D22=0, "Missing in AP Ledger", IF(E22=0, "Pending Bank Disbursement", "Variance Detected")))</f>
        <v/>
      </c>
      <c r="I22" s="19">
        <f>IF(H22="Fully Reconciled", "None (Matched)", IF(D22=0, "Unbooked Invoice", IF(E22=0, "Unpaid / In-Transit", IF(ABS(F22)&gt;0.01, "Pricing / Qty Variance", "Bank Settlement Timing"))))</f>
        <v/>
      </c>
      <c r="J22" s="20">
        <f>IF(H22="Fully Reconciled", "No Action Required", IF(H22="Missing in AP Ledger", "Request GRN &amp; PO from Procurement", IF(H22="Pending Bank Disbursement", "Verify Payment Run Batch", "Issue Debit/Credit Note &amp; Dispute")))</f>
        <v/>
      </c>
    </row>
    <row r="23">
      <c r="A23" s="19">
        <f>'Vendor Invoices (Raw)'!A23</f>
        <v/>
      </c>
      <c r="B23" s="20">
        <f>'Vendor Invoices (Raw)'!C23</f>
        <v/>
      </c>
      <c r="C23" s="21">
        <f>'Vendor Invoices (Raw)'!I23</f>
        <v/>
      </c>
      <c r="D23" s="21">
        <f>IFERROR(VLOOKUP(A23, 'AP Ledger (Raw)'!$A$2:$I$50, 9, FALSE), 0)</f>
        <v/>
      </c>
      <c r="E23" s="21">
        <f>IFERROR(VLOOKUP(A23, 'Bank Statements (Raw)'!$B$2:$D$50, 3, FALSE), 0)</f>
        <v/>
      </c>
      <c r="F23" s="21">
        <f>ROUND(C23-D23, 2)</f>
        <v/>
      </c>
      <c r="G23" s="21">
        <f>ROUND(D23-E23, 2)</f>
        <v/>
      </c>
      <c r="H23" s="19">
        <f>IF(AND(ABS(F23)&lt;0.01, ABS(G23)&lt;0.01, E23&gt;0), "Fully Reconciled", IF(D23=0, "Missing in AP Ledger", IF(E23=0, "Pending Bank Disbursement", "Variance Detected")))</f>
        <v/>
      </c>
      <c r="I23" s="19">
        <f>IF(H23="Fully Reconciled", "None (Matched)", IF(D23=0, "Unbooked Invoice", IF(E23=0, "Unpaid / In-Transit", IF(ABS(F23)&gt;0.01, "Pricing / Qty Variance", "Bank Settlement Timing"))))</f>
        <v/>
      </c>
      <c r="J23" s="20">
        <f>IF(H23="Fully Reconciled", "No Action Required", IF(H23="Missing in AP Ledger", "Request GRN &amp; PO from Procurement", IF(H23="Pending Bank Disbursement", "Verify Payment Run Batch", "Issue Debit/Credit Note &amp; Dispute")))</f>
        <v/>
      </c>
    </row>
    <row r="24">
      <c r="A24" s="19">
        <f>'Vendor Invoices (Raw)'!A24</f>
        <v/>
      </c>
      <c r="B24" s="20">
        <f>'Vendor Invoices (Raw)'!C24</f>
        <v/>
      </c>
      <c r="C24" s="21">
        <f>'Vendor Invoices (Raw)'!I24</f>
        <v/>
      </c>
      <c r="D24" s="21">
        <f>IFERROR(VLOOKUP(A24, 'AP Ledger (Raw)'!$A$2:$I$50, 9, FALSE), 0)</f>
        <v/>
      </c>
      <c r="E24" s="21">
        <f>IFERROR(VLOOKUP(A24, 'Bank Statements (Raw)'!$B$2:$D$50, 3, FALSE), 0)</f>
        <v/>
      </c>
      <c r="F24" s="21">
        <f>ROUND(C24-D24, 2)</f>
        <v/>
      </c>
      <c r="G24" s="21">
        <f>ROUND(D24-E24, 2)</f>
        <v/>
      </c>
      <c r="H24" s="19">
        <f>IF(AND(ABS(F24)&lt;0.01, ABS(G24)&lt;0.01, E24&gt;0), "Fully Reconciled", IF(D24=0, "Missing in AP Ledger", IF(E24=0, "Pending Bank Disbursement", "Variance Detected")))</f>
        <v/>
      </c>
      <c r="I24" s="19">
        <f>IF(H24="Fully Reconciled", "None (Matched)", IF(D24=0, "Unbooked Invoice", IF(E24=0, "Unpaid / In-Transit", IF(ABS(F24)&gt;0.01, "Pricing / Qty Variance", "Bank Settlement Timing"))))</f>
        <v/>
      </c>
      <c r="J24" s="20">
        <f>IF(H24="Fully Reconciled", "No Action Required", IF(H24="Missing in AP Ledger", "Request GRN &amp; PO from Procurement", IF(H24="Pending Bank Disbursement", "Verify Payment Run Batch", "Issue Debit/Credit Note &amp; Dispute")))</f>
        <v/>
      </c>
    </row>
    <row r="25">
      <c r="A25" s="19">
        <f>'Vendor Invoices (Raw)'!A25</f>
        <v/>
      </c>
      <c r="B25" s="20">
        <f>'Vendor Invoices (Raw)'!C25</f>
        <v/>
      </c>
      <c r="C25" s="21">
        <f>'Vendor Invoices (Raw)'!I25</f>
        <v/>
      </c>
      <c r="D25" s="21">
        <f>IFERROR(VLOOKUP(A25, 'AP Ledger (Raw)'!$A$2:$I$50, 9, FALSE), 0)</f>
        <v/>
      </c>
      <c r="E25" s="21">
        <f>IFERROR(VLOOKUP(A25, 'Bank Statements (Raw)'!$B$2:$D$50, 3, FALSE), 0)</f>
        <v/>
      </c>
      <c r="F25" s="21">
        <f>ROUND(C25-D25, 2)</f>
        <v/>
      </c>
      <c r="G25" s="21">
        <f>ROUND(D25-E25, 2)</f>
        <v/>
      </c>
      <c r="H25" s="19">
        <f>IF(AND(ABS(F25)&lt;0.01, ABS(G25)&lt;0.01, E25&gt;0), "Fully Reconciled", IF(D25=0, "Missing in AP Ledger", IF(E25=0, "Pending Bank Disbursement", "Variance Detected")))</f>
        <v/>
      </c>
      <c r="I25" s="19">
        <f>IF(H25="Fully Reconciled", "None (Matched)", IF(D25=0, "Unbooked Invoice", IF(E25=0, "Unpaid / In-Transit", IF(ABS(F25)&gt;0.01, "Pricing / Qty Variance", "Bank Settlement Timing"))))</f>
        <v/>
      </c>
      <c r="J25" s="20">
        <f>IF(H25="Fully Reconciled", "No Action Required", IF(H25="Missing in AP Ledger", "Request GRN &amp; PO from Procurement", IF(H25="Pending Bank Disbursement", "Verify Payment Run Batch", "Issue Debit/Credit Note &amp; Dispute")))</f>
        <v/>
      </c>
    </row>
    <row r="26">
      <c r="A26" s="19">
        <f>'Vendor Invoices (Raw)'!A26</f>
        <v/>
      </c>
      <c r="B26" s="20">
        <f>'Vendor Invoices (Raw)'!C26</f>
        <v/>
      </c>
      <c r="C26" s="21">
        <f>'Vendor Invoices (Raw)'!I26</f>
        <v/>
      </c>
      <c r="D26" s="21">
        <f>IFERROR(VLOOKUP(A26, 'AP Ledger (Raw)'!$A$2:$I$50, 9, FALSE), 0)</f>
        <v/>
      </c>
      <c r="E26" s="21">
        <f>IFERROR(VLOOKUP(A26, 'Bank Statements (Raw)'!$B$2:$D$50, 3, FALSE), 0)</f>
        <v/>
      </c>
      <c r="F26" s="21">
        <f>ROUND(C26-D26, 2)</f>
        <v/>
      </c>
      <c r="G26" s="21">
        <f>ROUND(D26-E26, 2)</f>
        <v/>
      </c>
      <c r="H26" s="19">
        <f>IF(AND(ABS(F26)&lt;0.01, ABS(G26)&lt;0.01, E26&gt;0), "Fully Reconciled", IF(D26=0, "Missing in AP Ledger", IF(E26=0, "Pending Bank Disbursement", "Variance Detected")))</f>
        <v/>
      </c>
      <c r="I26" s="19">
        <f>IF(H26="Fully Reconciled", "None (Matched)", IF(D26=0, "Unbooked Invoice", IF(E26=0, "Unpaid / In-Transit", IF(ABS(F26)&gt;0.01, "Pricing / Qty Variance", "Bank Settlement Timing"))))</f>
        <v/>
      </c>
      <c r="J26" s="20">
        <f>IF(H26="Fully Reconciled", "No Action Required", IF(H26="Missing in AP Ledger", "Request GRN &amp; PO from Procurement", IF(H26="Pending Bank Disbursement", "Verify Payment Run Batch", "Issue Debit/Credit Note &amp; Dispute")))</f>
        <v/>
      </c>
    </row>
    <row r="27">
      <c r="A27" s="19">
        <f>'Vendor Invoices (Raw)'!A27</f>
        <v/>
      </c>
      <c r="B27" s="20">
        <f>'Vendor Invoices (Raw)'!C27</f>
        <v/>
      </c>
      <c r="C27" s="21">
        <f>'Vendor Invoices (Raw)'!I27</f>
        <v/>
      </c>
      <c r="D27" s="21">
        <f>IFERROR(VLOOKUP(A27, 'AP Ledger (Raw)'!$A$2:$I$50, 9, FALSE), 0)</f>
        <v/>
      </c>
      <c r="E27" s="21">
        <f>IFERROR(VLOOKUP(A27, 'Bank Statements (Raw)'!$B$2:$D$50, 3, FALSE), 0)</f>
        <v/>
      </c>
      <c r="F27" s="21">
        <f>ROUND(C27-D27, 2)</f>
        <v/>
      </c>
      <c r="G27" s="21">
        <f>ROUND(D27-E27, 2)</f>
        <v/>
      </c>
      <c r="H27" s="19">
        <f>IF(AND(ABS(F27)&lt;0.01, ABS(G27)&lt;0.01, E27&gt;0), "Fully Reconciled", IF(D27=0, "Missing in AP Ledger", IF(E27=0, "Pending Bank Disbursement", "Variance Detected")))</f>
        <v/>
      </c>
      <c r="I27" s="19">
        <f>IF(H27="Fully Reconciled", "None (Matched)", IF(D27=0, "Unbooked Invoice", IF(E27=0, "Unpaid / In-Transit", IF(ABS(F27)&gt;0.01, "Pricing / Qty Variance", "Bank Settlement Timing"))))</f>
        <v/>
      </c>
      <c r="J27" s="20">
        <f>IF(H27="Fully Reconciled", "No Action Required", IF(H27="Missing in AP Ledger", "Request GRN &amp; PO from Procurement", IF(H27="Pending Bank Disbursement", "Verify Payment Run Batch", "Issue Debit/Credit Note &amp; Dispute")))</f>
        <v/>
      </c>
    </row>
    <row r="28">
      <c r="A28" s="19">
        <f>'Vendor Invoices (Raw)'!A28</f>
        <v/>
      </c>
      <c r="B28" s="20">
        <f>'Vendor Invoices (Raw)'!C28</f>
        <v/>
      </c>
      <c r="C28" s="21">
        <f>'Vendor Invoices (Raw)'!I28</f>
        <v/>
      </c>
      <c r="D28" s="21">
        <f>IFERROR(VLOOKUP(A28, 'AP Ledger (Raw)'!$A$2:$I$50, 9, FALSE), 0)</f>
        <v/>
      </c>
      <c r="E28" s="21">
        <f>IFERROR(VLOOKUP(A28, 'Bank Statements (Raw)'!$B$2:$D$50, 3, FALSE), 0)</f>
        <v/>
      </c>
      <c r="F28" s="21">
        <f>ROUND(C28-D28, 2)</f>
        <v/>
      </c>
      <c r="G28" s="21">
        <f>ROUND(D28-E28, 2)</f>
        <v/>
      </c>
      <c r="H28" s="19">
        <f>IF(AND(ABS(F28)&lt;0.01, ABS(G28)&lt;0.01, E28&gt;0), "Fully Reconciled", IF(D28=0, "Missing in AP Ledger", IF(E28=0, "Pending Bank Disbursement", "Variance Detected")))</f>
        <v/>
      </c>
      <c r="I28" s="19">
        <f>IF(H28="Fully Reconciled", "None (Matched)", IF(D28=0, "Unbooked Invoice", IF(E28=0, "Unpaid / In-Transit", IF(ABS(F28)&gt;0.01, "Pricing / Qty Variance", "Bank Settlement Timing"))))</f>
        <v/>
      </c>
      <c r="J28" s="20">
        <f>IF(H28="Fully Reconciled", "No Action Required", IF(H28="Missing in AP Ledger", "Request GRN &amp; PO from Procurement", IF(H28="Pending Bank Disbursement", "Verify Payment Run Batch", "Issue Debit/Credit Note &amp; Dispute")))</f>
        <v/>
      </c>
    </row>
    <row r="29">
      <c r="A29" s="19">
        <f>'Vendor Invoices (Raw)'!A29</f>
        <v/>
      </c>
      <c r="B29" s="20">
        <f>'Vendor Invoices (Raw)'!C29</f>
        <v/>
      </c>
      <c r="C29" s="21">
        <f>'Vendor Invoices (Raw)'!I29</f>
        <v/>
      </c>
      <c r="D29" s="21">
        <f>IFERROR(VLOOKUP(A29, 'AP Ledger (Raw)'!$A$2:$I$50, 9, FALSE), 0)</f>
        <v/>
      </c>
      <c r="E29" s="21">
        <f>IFERROR(VLOOKUP(A29, 'Bank Statements (Raw)'!$B$2:$D$50, 3, FALSE), 0)</f>
        <v/>
      </c>
      <c r="F29" s="21">
        <f>ROUND(C29-D29, 2)</f>
        <v/>
      </c>
      <c r="G29" s="21">
        <f>ROUND(D29-E29, 2)</f>
        <v/>
      </c>
      <c r="H29" s="19">
        <f>IF(AND(ABS(F29)&lt;0.01, ABS(G29)&lt;0.01, E29&gt;0), "Fully Reconciled", IF(D29=0, "Missing in AP Ledger", IF(E29=0, "Pending Bank Disbursement", "Variance Detected")))</f>
        <v/>
      </c>
      <c r="I29" s="19">
        <f>IF(H29="Fully Reconciled", "None (Matched)", IF(D29=0, "Unbooked Invoice", IF(E29=0, "Unpaid / In-Transit", IF(ABS(F29)&gt;0.01, "Pricing / Qty Variance", "Bank Settlement Timing"))))</f>
        <v/>
      </c>
      <c r="J29" s="20">
        <f>IF(H29="Fully Reconciled", "No Action Required", IF(H29="Missing in AP Ledger", "Request GRN &amp; PO from Procurement", IF(H29="Pending Bank Disbursement", "Verify Payment Run Batch", "Issue Debit/Credit Note &amp; Dispute")))</f>
        <v/>
      </c>
    </row>
    <row r="30">
      <c r="A30" s="19">
        <f>'Vendor Invoices (Raw)'!A30</f>
        <v/>
      </c>
      <c r="B30" s="20">
        <f>'Vendor Invoices (Raw)'!C30</f>
        <v/>
      </c>
      <c r="C30" s="21">
        <f>'Vendor Invoices (Raw)'!I30</f>
        <v/>
      </c>
      <c r="D30" s="21">
        <f>IFERROR(VLOOKUP(A30, 'AP Ledger (Raw)'!$A$2:$I$50, 9, FALSE), 0)</f>
        <v/>
      </c>
      <c r="E30" s="21">
        <f>IFERROR(VLOOKUP(A30, 'Bank Statements (Raw)'!$B$2:$D$50, 3, FALSE), 0)</f>
        <v/>
      </c>
      <c r="F30" s="21">
        <f>ROUND(C30-D30, 2)</f>
        <v/>
      </c>
      <c r="G30" s="21">
        <f>ROUND(D30-E30, 2)</f>
        <v/>
      </c>
      <c r="H30" s="19">
        <f>IF(AND(ABS(F30)&lt;0.01, ABS(G30)&lt;0.01, E30&gt;0), "Fully Reconciled", IF(D30=0, "Missing in AP Ledger", IF(E30=0, "Pending Bank Disbursement", "Variance Detected")))</f>
        <v/>
      </c>
      <c r="I30" s="19">
        <f>IF(H30="Fully Reconciled", "None (Matched)", IF(D30=0, "Unbooked Invoice", IF(E30=0, "Unpaid / In-Transit", IF(ABS(F30)&gt;0.01, "Pricing / Qty Variance", "Bank Settlement Timing"))))</f>
        <v/>
      </c>
      <c r="J30" s="20">
        <f>IF(H30="Fully Reconciled", "No Action Required", IF(H30="Missing in AP Ledger", "Request GRN &amp; PO from Procurement", IF(H30="Pending Bank Disbursement", "Verify Payment Run Batch", "Issue Debit/Credit Note &amp; Dispute")))</f>
        <v/>
      </c>
    </row>
    <row r="31">
      <c r="A31" s="19">
        <f>'Vendor Invoices (Raw)'!A31</f>
        <v/>
      </c>
      <c r="B31" s="20">
        <f>'Vendor Invoices (Raw)'!C31</f>
        <v/>
      </c>
      <c r="C31" s="21">
        <f>'Vendor Invoices (Raw)'!I31</f>
        <v/>
      </c>
      <c r="D31" s="21">
        <f>IFERROR(VLOOKUP(A31, 'AP Ledger (Raw)'!$A$2:$I$50, 9, FALSE), 0)</f>
        <v/>
      </c>
      <c r="E31" s="21">
        <f>IFERROR(VLOOKUP(A31, 'Bank Statements (Raw)'!$B$2:$D$50, 3, FALSE), 0)</f>
        <v/>
      </c>
      <c r="F31" s="21">
        <f>ROUND(C31-D31, 2)</f>
        <v/>
      </c>
      <c r="G31" s="21">
        <f>ROUND(D31-E31, 2)</f>
        <v/>
      </c>
      <c r="H31" s="19">
        <f>IF(AND(ABS(F31)&lt;0.01, ABS(G31)&lt;0.01, E31&gt;0), "Fully Reconciled", IF(D31=0, "Missing in AP Ledger", IF(E31=0, "Pending Bank Disbursement", "Variance Detected")))</f>
        <v/>
      </c>
      <c r="I31" s="19">
        <f>IF(H31="Fully Reconciled", "None (Matched)", IF(D31=0, "Unbooked Invoice", IF(E31=0, "Unpaid / In-Transit", IF(ABS(F31)&gt;0.01, "Pricing / Qty Variance", "Bank Settlement Timing"))))</f>
        <v/>
      </c>
      <c r="J31" s="20">
        <f>IF(H31="Fully Reconciled", "No Action Required", IF(H31="Missing in AP Ledger", "Request GRN &amp; PO from Procurement", IF(H31="Pending Bank Disbursement", "Verify Payment Run Batch", "Issue Debit/Credit Note &amp; Dispute")))</f>
        <v/>
      </c>
    </row>
    <row r="32">
      <c r="A32" s="19">
        <f>'Vendor Invoices (Raw)'!A32</f>
        <v/>
      </c>
      <c r="B32" s="20">
        <f>'Vendor Invoices (Raw)'!C32</f>
        <v/>
      </c>
      <c r="C32" s="21">
        <f>'Vendor Invoices (Raw)'!I32</f>
        <v/>
      </c>
      <c r="D32" s="21">
        <f>IFERROR(VLOOKUP(A32, 'AP Ledger (Raw)'!$A$2:$I$50, 9, FALSE), 0)</f>
        <v/>
      </c>
      <c r="E32" s="21">
        <f>IFERROR(VLOOKUP(A32, 'Bank Statements (Raw)'!$B$2:$D$50, 3, FALSE), 0)</f>
        <v/>
      </c>
      <c r="F32" s="21">
        <f>ROUND(C32-D32, 2)</f>
        <v/>
      </c>
      <c r="G32" s="21">
        <f>ROUND(D32-E32, 2)</f>
        <v/>
      </c>
      <c r="H32" s="19">
        <f>IF(AND(ABS(F32)&lt;0.01, ABS(G32)&lt;0.01, E32&gt;0), "Fully Reconciled", IF(D32=0, "Missing in AP Ledger", IF(E32=0, "Pending Bank Disbursement", "Variance Detected")))</f>
        <v/>
      </c>
      <c r="I32" s="19">
        <f>IF(H32="Fully Reconciled", "None (Matched)", IF(D32=0, "Unbooked Invoice", IF(E32=0, "Unpaid / In-Transit", IF(ABS(F32)&gt;0.01, "Pricing / Qty Variance", "Bank Settlement Timing"))))</f>
        <v/>
      </c>
      <c r="J32" s="20">
        <f>IF(H32="Fully Reconciled", "No Action Required", IF(H32="Missing in AP Ledger", "Request GRN &amp; PO from Procurement", IF(H32="Pending Bank Disbursement", "Verify Payment Run Batch", "Issue Debit/Credit Note &amp; Dispute")))</f>
        <v/>
      </c>
    </row>
    <row r="33">
      <c r="A33" s="19">
        <f>'Vendor Invoices (Raw)'!A33</f>
        <v/>
      </c>
      <c r="B33" s="20">
        <f>'Vendor Invoices (Raw)'!C33</f>
        <v/>
      </c>
      <c r="C33" s="21">
        <f>'Vendor Invoices (Raw)'!I33</f>
        <v/>
      </c>
      <c r="D33" s="21">
        <f>IFERROR(VLOOKUP(A33, 'AP Ledger (Raw)'!$A$2:$I$50, 9, FALSE), 0)</f>
        <v/>
      </c>
      <c r="E33" s="21">
        <f>IFERROR(VLOOKUP(A33, 'Bank Statements (Raw)'!$B$2:$D$50, 3, FALSE), 0)</f>
        <v/>
      </c>
      <c r="F33" s="21">
        <f>ROUND(C33-D33, 2)</f>
        <v/>
      </c>
      <c r="G33" s="21">
        <f>ROUND(D33-E33, 2)</f>
        <v/>
      </c>
      <c r="H33" s="19">
        <f>IF(AND(ABS(F33)&lt;0.01, ABS(G33)&lt;0.01, E33&gt;0), "Fully Reconciled", IF(D33=0, "Missing in AP Ledger", IF(E33=0, "Pending Bank Disbursement", "Variance Detected")))</f>
        <v/>
      </c>
      <c r="I33" s="19">
        <f>IF(H33="Fully Reconciled", "None (Matched)", IF(D33=0, "Unbooked Invoice", IF(E33=0, "Unpaid / In-Transit", IF(ABS(F33)&gt;0.01, "Pricing / Qty Variance", "Bank Settlement Timing"))))</f>
        <v/>
      </c>
      <c r="J33" s="20">
        <f>IF(H33="Fully Reconciled", "No Action Required", IF(H33="Missing in AP Ledger", "Request GRN &amp; PO from Procurement", IF(H33="Pending Bank Disbursement", "Verify Payment Run Batch", "Issue Debit/Credit Note &amp; Dispute")))</f>
        <v/>
      </c>
    </row>
    <row r="34">
      <c r="A34" s="19">
        <f>'Vendor Invoices (Raw)'!A34</f>
        <v/>
      </c>
      <c r="B34" s="20">
        <f>'Vendor Invoices (Raw)'!C34</f>
        <v/>
      </c>
      <c r="C34" s="21">
        <f>'Vendor Invoices (Raw)'!I34</f>
        <v/>
      </c>
      <c r="D34" s="21">
        <f>IFERROR(VLOOKUP(A34, 'AP Ledger (Raw)'!$A$2:$I$50, 9, FALSE), 0)</f>
        <v/>
      </c>
      <c r="E34" s="21">
        <f>IFERROR(VLOOKUP(A34, 'Bank Statements (Raw)'!$B$2:$D$50, 3, FALSE), 0)</f>
        <v/>
      </c>
      <c r="F34" s="21">
        <f>ROUND(C34-D34, 2)</f>
        <v/>
      </c>
      <c r="G34" s="21">
        <f>ROUND(D34-E34, 2)</f>
        <v/>
      </c>
      <c r="H34" s="19">
        <f>IF(AND(ABS(F34)&lt;0.01, ABS(G34)&lt;0.01, E34&gt;0), "Fully Reconciled", IF(D34=0, "Missing in AP Ledger", IF(E34=0, "Pending Bank Disbursement", "Variance Detected")))</f>
        <v/>
      </c>
      <c r="I34" s="19">
        <f>IF(H34="Fully Reconciled", "None (Matched)", IF(D34=0, "Unbooked Invoice", IF(E34=0, "Unpaid / In-Transit", IF(ABS(F34)&gt;0.01, "Pricing / Qty Variance", "Bank Settlement Timing"))))</f>
        <v/>
      </c>
      <c r="J34" s="20">
        <f>IF(H34="Fully Reconciled", "No Action Required", IF(H34="Missing in AP Ledger", "Request GRN &amp; PO from Procurement", IF(H34="Pending Bank Disbursement", "Verify Payment Run Batch", "Issue Debit/Credit Note &amp; Dispute")))</f>
        <v/>
      </c>
    </row>
    <row r="35">
      <c r="A35" s="19">
        <f>'Vendor Invoices (Raw)'!A35</f>
        <v/>
      </c>
      <c r="B35" s="20">
        <f>'Vendor Invoices (Raw)'!C35</f>
        <v/>
      </c>
      <c r="C35" s="21">
        <f>'Vendor Invoices (Raw)'!I35</f>
        <v/>
      </c>
      <c r="D35" s="21">
        <f>IFERROR(VLOOKUP(A35, 'AP Ledger (Raw)'!$A$2:$I$50, 9, FALSE), 0)</f>
        <v/>
      </c>
      <c r="E35" s="21">
        <f>IFERROR(VLOOKUP(A35, 'Bank Statements (Raw)'!$B$2:$D$50, 3, FALSE), 0)</f>
        <v/>
      </c>
      <c r="F35" s="21">
        <f>ROUND(C35-D35, 2)</f>
        <v/>
      </c>
      <c r="G35" s="21">
        <f>ROUND(D35-E35, 2)</f>
        <v/>
      </c>
      <c r="H35" s="19">
        <f>IF(AND(ABS(F35)&lt;0.01, ABS(G35)&lt;0.01, E35&gt;0), "Fully Reconciled", IF(D35=0, "Missing in AP Ledger", IF(E35=0, "Pending Bank Disbursement", "Variance Detected")))</f>
        <v/>
      </c>
      <c r="I35" s="19">
        <f>IF(H35="Fully Reconciled", "None (Matched)", IF(D35=0, "Unbooked Invoice", IF(E35=0, "Unpaid / In-Transit", IF(ABS(F35)&gt;0.01, "Pricing / Qty Variance", "Bank Settlement Timing"))))</f>
        <v/>
      </c>
      <c r="J35" s="20">
        <f>IF(H35="Fully Reconciled", "No Action Required", IF(H35="Missing in AP Ledger", "Request GRN &amp; PO from Procurement", IF(H35="Pending Bank Disbursement", "Verify Payment Run Batch", "Issue Debit/Credit Note &amp; Dispute")))</f>
        <v/>
      </c>
    </row>
    <row r="36">
      <c r="A36" s="19">
        <f>'Vendor Invoices (Raw)'!A36</f>
        <v/>
      </c>
      <c r="B36" s="20">
        <f>'Vendor Invoices (Raw)'!C36</f>
        <v/>
      </c>
      <c r="C36" s="21">
        <f>'Vendor Invoices (Raw)'!I36</f>
        <v/>
      </c>
      <c r="D36" s="21">
        <f>IFERROR(VLOOKUP(A36, 'AP Ledger (Raw)'!$A$2:$I$50, 9, FALSE), 0)</f>
        <v/>
      </c>
      <c r="E36" s="21">
        <f>IFERROR(VLOOKUP(A36, 'Bank Statements (Raw)'!$B$2:$D$50, 3, FALSE), 0)</f>
        <v/>
      </c>
      <c r="F36" s="21">
        <f>ROUND(C36-D36, 2)</f>
        <v/>
      </c>
      <c r="G36" s="21">
        <f>ROUND(D36-E36, 2)</f>
        <v/>
      </c>
      <c r="H36" s="19">
        <f>IF(AND(ABS(F36)&lt;0.01, ABS(G36)&lt;0.01, E36&gt;0), "Fully Reconciled", IF(D36=0, "Missing in AP Ledger", IF(E36=0, "Pending Bank Disbursement", "Variance Detected")))</f>
        <v/>
      </c>
      <c r="I36" s="19">
        <f>IF(H36="Fully Reconciled", "None (Matched)", IF(D36=0, "Unbooked Invoice", IF(E36=0, "Unpaid / In-Transit", IF(ABS(F36)&gt;0.01, "Pricing / Qty Variance", "Bank Settlement Timing"))))</f>
        <v/>
      </c>
      <c r="J36" s="20">
        <f>IF(H36="Fully Reconciled", "No Action Required", IF(H36="Missing in AP Ledger", "Request GRN &amp; PO from Procurement", IF(H36="Pending Bank Disbursement", "Verify Payment Run Batch", "Issue Debit/Credit Note &amp; Dispute")))</f>
        <v/>
      </c>
    </row>
    <row r="37">
      <c r="A37" s="19">
        <f>'Vendor Invoices (Raw)'!A37</f>
        <v/>
      </c>
      <c r="B37" s="20">
        <f>'Vendor Invoices (Raw)'!C37</f>
        <v/>
      </c>
      <c r="C37" s="21">
        <f>'Vendor Invoices (Raw)'!I37</f>
        <v/>
      </c>
      <c r="D37" s="21">
        <f>IFERROR(VLOOKUP(A37, 'AP Ledger (Raw)'!$A$2:$I$50, 9, FALSE), 0)</f>
        <v/>
      </c>
      <c r="E37" s="21">
        <f>IFERROR(VLOOKUP(A37, 'Bank Statements (Raw)'!$B$2:$D$50, 3, FALSE), 0)</f>
        <v/>
      </c>
      <c r="F37" s="21">
        <f>ROUND(C37-D37, 2)</f>
        <v/>
      </c>
      <c r="G37" s="21">
        <f>ROUND(D37-E37, 2)</f>
        <v/>
      </c>
      <c r="H37" s="19">
        <f>IF(AND(ABS(F37)&lt;0.01, ABS(G37)&lt;0.01, E37&gt;0), "Fully Reconciled", IF(D37=0, "Missing in AP Ledger", IF(E37=0, "Pending Bank Disbursement", "Variance Detected")))</f>
        <v/>
      </c>
      <c r="I37" s="19">
        <f>IF(H37="Fully Reconciled", "None (Matched)", IF(D37=0, "Unbooked Invoice", IF(E37=0, "Unpaid / In-Transit", IF(ABS(F37)&gt;0.01, "Pricing / Qty Variance", "Bank Settlement Timing"))))</f>
        <v/>
      </c>
      <c r="J37" s="20">
        <f>IF(H37="Fully Reconciled", "No Action Required", IF(H37="Missing in AP Ledger", "Request GRN &amp; PO from Procurement", IF(H37="Pending Bank Disbursement", "Verify Payment Run Batch", "Issue Debit/Credit Note &amp; Dispute")))</f>
        <v/>
      </c>
    </row>
    <row r="38">
      <c r="A38" s="19">
        <f>'Vendor Invoices (Raw)'!A38</f>
        <v/>
      </c>
      <c r="B38" s="20">
        <f>'Vendor Invoices (Raw)'!C38</f>
        <v/>
      </c>
      <c r="C38" s="21">
        <f>'Vendor Invoices (Raw)'!I38</f>
        <v/>
      </c>
      <c r="D38" s="21">
        <f>IFERROR(VLOOKUP(A38, 'AP Ledger (Raw)'!$A$2:$I$50, 9, FALSE), 0)</f>
        <v/>
      </c>
      <c r="E38" s="21">
        <f>IFERROR(VLOOKUP(A38, 'Bank Statements (Raw)'!$B$2:$D$50, 3, FALSE), 0)</f>
        <v/>
      </c>
      <c r="F38" s="21">
        <f>ROUND(C38-D38, 2)</f>
        <v/>
      </c>
      <c r="G38" s="21">
        <f>ROUND(D38-E38, 2)</f>
        <v/>
      </c>
      <c r="H38" s="19">
        <f>IF(AND(ABS(F38)&lt;0.01, ABS(G38)&lt;0.01, E38&gt;0), "Fully Reconciled", IF(D38=0, "Missing in AP Ledger", IF(E38=0, "Pending Bank Disbursement", "Variance Detected")))</f>
        <v/>
      </c>
      <c r="I38" s="19">
        <f>IF(H38="Fully Reconciled", "None (Matched)", IF(D38=0, "Unbooked Invoice", IF(E38=0, "Unpaid / In-Transit", IF(ABS(F38)&gt;0.01, "Pricing / Qty Variance", "Bank Settlement Timing"))))</f>
        <v/>
      </c>
      <c r="J38" s="20">
        <f>IF(H38="Fully Reconciled", "No Action Required", IF(H38="Missing in AP Ledger", "Request GRN &amp; PO from Procurement", IF(H38="Pending Bank Disbursement", "Verify Payment Run Batch", "Issue Debit/Credit Note &amp; Dispute")))</f>
        <v/>
      </c>
    </row>
    <row r="39">
      <c r="A39" s="19">
        <f>'Vendor Invoices (Raw)'!A39</f>
        <v/>
      </c>
      <c r="B39" s="20">
        <f>'Vendor Invoices (Raw)'!C39</f>
        <v/>
      </c>
      <c r="C39" s="21">
        <f>'Vendor Invoices (Raw)'!I39</f>
        <v/>
      </c>
      <c r="D39" s="21">
        <f>IFERROR(VLOOKUP(A39, 'AP Ledger (Raw)'!$A$2:$I$50, 9, FALSE), 0)</f>
        <v/>
      </c>
      <c r="E39" s="21">
        <f>IFERROR(VLOOKUP(A39, 'Bank Statements (Raw)'!$B$2:$D$50, 3, FALSE), 0)</f>
        <v/>
      </c>
      <c r="F39" s="21">
        <f>ROUND(C39-D39, 2)</f>
        <v/>
      </c>
      <c r="G39" s="21">
        <f>ROUND(D39-E39, 2)</f>
        <v/>
      </c>
      <c r="H39" s="19">
        <f>IF(AND(ABS(F39)&lt;0.01, ABS(G39)&lt;0.01, E39&gt;0), "Fully Reconciled", IF(D39=0, "Missing in AP Ledger", IF(E39=0, "Pending Bank Disbursement", "Variance Detected")))</f>
        <v/>
      </c>
      <c r="I39" s="19">
        <f>IF(H39="Fully Reconciled", "None (Matched)", IF(D39=0, "Unbooked Invoice", IF(E39=0, "Unpaid / In-Transit", IF(ABS(F39)&gt;0.01, "Pricing / Qty Variance", "Bank Settlement Timing"))))</f>
        <v/>
      </c>
      <c r="J39" s="20">
        <f>IF(H39="Fully Reconciled", "No Action Required", IF(H39="Missing in AP Ledger", "Request GRN &amp; PO from Procurement", IF(H39="Pending Bank Disbursement", "Verify Payment Run Batch", "Issue Debit/Credit Note &amp; Dispute")))</f>
        <v/>
      </c>
    </row>
    <row r="40">
      <c r="A40" s="19">
        <f>'Vendor Invoices (Raw)'!A40</f>
        <v/>
      </c>
      <c r="B40" s="20">
        <f>'Vendor Invoices (Raw)'!C40</f>
        <v/>
      </c>
      <c r="C40" s="21">
        <f>'Vendor Invoices (Raw)'!I40</f>
        <v/>
      </c>
      <c r="D40" s="21">
        <f>IFERROR(VLOOKUP(A40, 'AP Ledger (Raw)'!$A$2:$I$50, 9, FALSE), 0)</f>
        <v/>
      </c>
      <c r="E40" s="21">
        <f>IFERROR(VLOOKUP(A40, 'Bank Statements (Raw)'!$B$2:$D$50, 3, FALSE), 0)</f>
        <v/>
      </c>
      <c r="F40" s="21">
        <f>ROUND(C40-D40, 2)</f>
        <v/>
      </c>
      <c r="G40" s="21">
        <f>ROUND(D40-E40, 2)</f>
        <v/>
      </c>
      <c r="H40" s="19">
        <f>IF(AND(ABS(F40)&lt;0.01, ABS(G40)&lt;0.01, E40&gt;0), "Fully Reconciled", IF(D40=0, "Missing in AP Ledger", IF(E40=0, "Pending Bank Disbursement", "Variance Detected")))</f>
        <v/>
      </c>
      <c r="I40" s="19">
        <f>IF(H40="Fully Reconciled", "None (Matched)", IF(D40=0, "Unbooked Invoice", IF(E40=0, "Unpaid / In-Transit", IF(ABS(F40)&gt;0.01, "Pricing / Qty Variance", "Bank Settlement Timing"))))</f>
        <v/>
      </c>
      <c r="J40" s="20">
        <f>IF(H40="Fully Reconciled", "No Action Required", IF(H40="Missing in AP Ledger", "Request GRN &amp; PO from Procurement", IF(H40="Pending Bank Disbursement", "Verify Payment Run Batch", "Issue Debit/Credit Note &amp; Dispute")))</f>
        <v/>
      </c>
    </row>
    <row r="41">
      <c r="A41" s="19">
        <f>'Vendor Invoices (Raw)'!A41</f>
        <v/>
      </c>
      <c r="B41" s="20">
        <f>'Vendor Invoices (Raw)'!C41</f>
        <v/>
      </c>
      <c r="C41" s="21">
        <f>'Vendor Invoices (Raw)'!I41</f>
        <v/>
      </c>
      <c r="D41" s="21">
        <f>IFERROR(VLOOKUP(A41, 'AP Ledger (Raw)'!$A$2:$I$50, 9, FALSE), 0)</f>
        <v/>
      </c>
      <c r="E41" s="21">
        <f>IFERROR(VLOOKUP(A41, 'Bank Statements (Raw)'!$B$2:$D$50, 3, FALSE), 0)</f>
        <v/>
      </c>
      <c r="F41" s="21">
        <f>ROUND(C41-D41, 2)</f>
        <v/>
      </c>
      <c r="G41" s="21">
        <f>ROUND(D41-E41, 2)</f>
        <v/>
      </c>
      <c r="H41" s="19">
        <f>IF(AND(ABS(F41)&lt;0.01, ABS(G41)&lt;0.01, E41&gt;0), "Fully Reconciled", IF(D41=0, "Missing in AP Ledger", IF(E41=0, "Pending Bank Disbursement", "Variance Detected")))</f>
        <v/>
      </c>
      <c r="I41" s="19">
        <f>IF(H41="Fully Reconciled", "None (Matched)", IF(D41=0, "Unbooked Invoice", IF(E41=0, "Unpaid / In-Transit", IF(ABS(F41)&gt;0.01, "Pricing / Qty Variance", "Bank Settlement Timing"))))</f>
        <v/>
      </c>
      <c r="J41" s="20">
        <f>IF(H41="Fully Reconciled", "No Action Required", IF(H41="Missing in AP Ledger", "Request GRN &amp; PO from Procurement", IF(H41="Pending Bank Disbursement", "Verify Payment Run Batch", "Issue Debit/Credit Note &amp; Dispute")))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27" customWidth="1" min="3" max="3"/>
    <col width="15" customWidth="1" min="4" max="4"/>
    <col width="13" customWidth="1" min="5" max="5"/>
    <col width="17" customWidth="1" min="6" max="6"/>
    <col width="15" customWidth="1" min="7" max="7"/>
    <col width="19" customWidth="1" min="8" max="8"/>
    <col width="19" customWidth="1" min="9" max="9"/>
  </cols>
  <sheetData>
    <row r="1">
      <c r="A1" s="7" t="inlineStr">
        <is>
          <t>Invoice Number</t>
        </is>
      </c>
      <c r="B1" s="7" t="inlineStr">
        <is>
          <t>Vendor ID</t>
        </is>
      </c>
      <c r="C1" s="7" t="inlineStr">
        <is>
          <t>Vendor Name</t>
        </is>
      </c>
      <c r="D1" s="7" t="inlineStr">
        <is>
          <t>Invoice Date</t>
        </is>
      </c>
      <c r="E1" s="7" t="inlineStr">
        <is>
          <t>Billed Qty</t>
        </is>
      </c>
      <c r="F1" s="7" t="inlineStr">
        <is>
          <t>Unit Price ($)</t>
        </is>
      </c>
      <c r="G1" s="7" t="inlineStr">
        <is>
          <t>Subtotal ($)</t>
        </is>
      </c>
      <c r="H1" s="7" t="inlineStr">
        <is>
          <t>Tax Amount (18%)</t>
        </is>
      </c>
      <c r="I1" s="7" t="inlineStr">
        <is>
          <t>Total Billed ($)</t>
        </is>
      </c>
    </row>
    <row r="2">
      <c r="A2" s="22" t="inlineStr">
        <is>
          <t>INV-2026-1001</t>
        </is>
      </c>
      <c r="B2" s="22" t="inlineStr">
        <is>
          <t>VND-1002</t>
        </is>
      </c>
      <c r="C2" s="22" t="inlineStr">
        <is>
          <t>Sterling Tech Solutions</t>
        </is>
      </c>
      <c r="D2" s="23" t="n">
        <v>46266</v>
      </c>
      <c r="E2" s="24" t="n">
        <v>99</v>
      </c>
      <c r="F2" s="11" t="n">
        <v>160.01</v>
      </c>
      <c r="G2" s="11" t="n">
        <v>15840.99</v>
      </c>
      <c r="H2" s="11" t="n">
        <v>2851.38</v>
      </c>
      <c r="I2" s="11" t="n">
        <v>18692.37</v>
      </c>
    </row>
    <row r="3">
      <c r="A3" s="22" t="inlineStr">
        <is>
          <t>INV-2026-1002</t>
        </is>
      </c>
      <c r="B3" s="22" t="inlineStr">
        <is>
          <t>VND-1003</t>
        </is>
      </c>
      <c r="C3" s="22" t="inlineStr">
        <is>
          <t>Beacon Office Supplies</t>
        </is>
      </c>
      <c r="D3" s="23" t="n">
        <v>46289</v>
      </c>
      <c r="E3" s="24" t="n">
        <v>18</v>
      </c>
      <c r="F3" s="11" t="n">
        <v>320.68</v>
      </c>
      <c r="G3" s="11" t="n">
        <v>5772.24</v>
      </c>
      <c r="H3" s="11" t="n">
        <v>1039</v>
      </c>
      <c r="I3" s="11" t="n">
        <v>6811.24</v>
      </c>
    </row>
    <row r="4">
      <c r="A4" s="22" t="inlineStr">
        <is>
          <t>INV-2026-1003</t>
        </is>
      </c>
      <c r="B4" s="22" t="inlineStr">
        <is>
          <t>VND-1007</t>
        </is>
      </c>
      <c r="C4" s="22" t="inlineStr">
        <is>
          <t>Nova Packaging Ltd</t>
        </is>
      </c>
      <c r="D4" s="23" t="n">
        <v>46267</v>
      </c>
      <c r="E4" s="24" t="n">
        <v>8</v>
      </c>
      <c r="F4" s="11" t="n">
        <v>87.48</v>
      </c>
      <c r="G4" s="11" t="n">
        <v>699.84</v>
      </c>
      <c r="H4" s="11" t="n">
        <v>125.97</v>
      </c>
      <c r="I4" s="11" t="n">
        <v>825.8099999999999</v>
      </c>
    </row>
    <row r="5">
      <c r="A5" s="22" t="inlineStr">
        <is>
          <t>INV-2026-1004</t>
        </is>
      </c>
      <c r="B5" s="22" t="inlineStr">
        <is>
          <t>VND-1001</t>
        </is>
      </c>
      <c r="C5" s="22" t="inlineStr">
        <is>
          <t>Apex Global Logistics</t>
        </is>
      </c>
      <c r="D5" s="23" t="n">
        <v>46283</v>
      </c>
      <c r="E5" s="24" t="n">
        <v>30</v>
      </c>
      <c r="F5" s="11" t="n">
        <v>336.41</v>
      </c>
      <c r="G5" s="11" t="n">
        <v>10092.3</v>
      </c>
      <c r="H5" s="11" t="n">
        <v>1816.61</v>
      </c>
      <c r="I5" s="11" t="n">
        <v>11908.91</v>
      </c>
    </row>
    <row r="6">
      <c r="A6" s="22" t="inlineStr">
        <is>
          <t>INV-2026-1005</t>
        </is>
      </c>
      <c r="B6" s="22" t="inlineStr">
        <is>
          <t>VND-1004</t>
        </is>
      </c>
      <c r="C6" s="22" t="inlineStr">
        <is>
          <t>Zenith Industrial Parts</t>
        </is>
      </c>
      <c r="D6" s="23" t="n">
        <v>46280</v>
      </c>
      <c r="E6" s="24" t="n">
        <v>80</v>
      </c>
      <c r="F6" s="11" t="n">
        <v>161.28</v>
      </c>
      <c r="G6" s="11" t="n">
        <v>12902.4</v>
      </c>
      <c r="H6" s="11" t="n">
        <v>2322.43</v>
      </c>
      <c r="I6" s="11" t="n">
        <v>15224.83</v>
      </c>
    </row>
    <row r="7">
      <c r="A7" s="22" t="inlineStr">
        <is>
          <t>INV-2026-1006</t>
        </is>
      </c>
      <c r="B7" s="22" t="inlineStr">
        <is>
          <t>VND-1003</t>
        </is>
      </c>
      <c r="C7" s="22" t="inlineStr">
        <is>
          <t>Beacon Office Supplies</t>
        </is>
      </c>
      <c r="D7" s="23" t="n">
        <v>46288</v>
      </c>
      <c r="E7" s="24" t="n">
        <v>59</v>
      </c>
      <c r="F7" s="11" t="n">
        <v>186.1</v>
      </c>
      <c r="G7" s="11" t="n">
        <v>10979.9</v>
      </c>
      <c r="H7" s="11" t="n">
        <v>1976.38</v>
      </c>
      <c r="I7" s="11" t="n">
        <v>12956.28</v>
      </c>
    </row>
    <row r="8">
      <c r="A8" s="22" t="inlineStr">
        <is>
          <t>INV-2026-1007</t>
        </is>
      </c>
      <c r="B8" s="22" t="inlineStr">
        <is>
          <t>VND-1004</t>
        </is>
      </c>
      <c r="C8" s="22" t="inlineStr">
        <is>
          <t>Zenith Industrial Parts</t>
        </is>
      </c>
      <c r="D8" s="23" t="n">
        <v>46296</v>
      </c>
      <c r="E8" s="24" t="n">
        <v>48</v>
      </c>
      <c r="F8" s="11" t="n">
        <v>90.88</v>
      </c>
      <c r="G8" s="11" t="n">
        <v>4362.24</v>
      </c>
      <c r="H8" s="11" t="n">
        <v>785.2</v>
      </c>
      <c r="I8" s="11" t="n">
        <v>5147.44</v>
      </c>
    </row>
    <row r="9">
      <c r="A9" s="22" t="inlineStr">
        <is>
          <t>INV-2026-1008</t>
        </is>
      </c>
      <c r="B9" s="22" t="inlineStr">
        <is>
          <t>VND-1007</t>
        </is>
      </c>
      <c r="C9" s="22" t="inlineStr">
        <is>
          <t>Nova Packaging Ltd</t>
        </is>
      </c>
      <c r="D9" s="23" t="n">
        <v>46269</v>
      </c>
      <c r="E9" s="24" t="n">
        <v>50</v>
      </c>
      <c r="F9" s="11" t="n">
        <v>389</v>
      </c>
      <c r="G9" s="11" t="n">
        <v>19450</v>
      </c>
      <c r="H9" s="11" t="n">
        <v>3501</v>
      </c>
      <c r="I9" s="11" t="n">
        <v>22951</v>
      </c>
    </row>
    <row r="10">
      <c r="A10" s="22" t="inlineStr">
        <is>
          <t>INV-2026-1009</t>
        </is>
      </c>
      <c r="B10" s="22" t="inlineStr">
        <is>
          <t>VND-1001</t>
        </is>
      </c>
      <c r="C10" s="22" t="inlineStr">
        <is>
          <t>Apex Global Logistics</t>
        </is>
      </c>
      <c r="D10" s="23" t="n">
        <v>46289</v>
      </c>
      <c r="E10" s="24" t="n">
        <v>63</v>
      </c>
      <c r="F10" s="11" t="n">
        <v>264.49</v>
      </c>
      <c r="G10" s="11" t="n">
        <v>16662.87</v>
      </c>
      <c r="H10" s="11" t="n">
        <v>2999.32</v>
      </c>
      <c r="I10" s="11" t="n">
        <v>19662.19</v>
      </c>
    </row>
    <row r="11">
      <c r="A11" s="22" t="inlineStr">
        <is>
          <t>INV-2026-1010</t>
        </is>
      </c>
      <c r="B11" s="22" t="inlineStr">
        <is>
          <t>VND-1007</t>
        </is>
      </c>
      <c r="C11" s="22" t="inlineStr">
        <is>
          <t>Nova Packaging Ltd</t>
        </is>
      </c>
      <c r="D11" s="23" t="n">
        <v>46268</v>
      </c>
      <c r="E11" s="24" t="n">
        <v>75</v>
      </c>
      <c r="F11" s="11" t="n">
        <v>167.27</v>
      </c>
      <c r="G11" s="11" t="n">
        <v>12545.25</v>
      </c>
      <c r="H11" s="11" t="n">
        <v>2258.14</v>
      </c>
      <c r="I11" s="11" t="n">
        <v>14803.39</v>
      </c>
    </row>
    <row r="12">
      <c r="A12" s="22" t="inlineStr">
        <is>
          <t>INV-2026-1011</t>
        </is>
      </c>
      <c r="B12" s="22" t="inlineStr">
        <is>
          <t>VND-1006</t>
        </is>
      </c>
      <c r="C12" s="22" t="inlineStr">
        <is>
          <t>Falcon Facility Services</t>
        </is>
      </c>
      <c r="D12" s="23" t="n">
        <v>46284</v>
      </c>
      <c r="E12" s="24" t="n">
        <v>29</v>
      </c>
      <c r="F12" s="11" t="n">
        <v>331.83</v>
      </c>
      <c r="G12" s="11" t="n">
        <v>9623.07</v>
      </c>
      <c r="H12" s="11" t="n">
        <v>1732.15</v>
      </c>
      <c r="I12" s="11" t="n">
        <v>11355.22</v>
      </c>
    </row>
    <row r="13">
      <c r="A13" s="22" t="inlineStr">
        <is>
          <t>INV-2026-1012</t>
        </is>
      </c>
      <c r="B13" s="22" t="inlineStr">
        <is>
          <t>VND-1004</t>
        </is>
      </c>
      <c r="C13" s="22" t="inlineStr">
        <is>
          <t>Zenith Industrial Parts</t>
        </is>
      </c>
      <c r="D13" s="23" t="n">
        <v>46290</v>
      </c>
      <c r="E13" s="24" t="n">
        <v>42</v>
      </c>
      <c r="F13" s="11" t="n">
        <v>444.09</v>
      </c>
      <c r="G13" s="11" t="n">
        <v>18651.78</v>
      </c>
      <c r="H13" s="11" t="n">
        <v>3357.32</v>
      </c>
      <c r="I13" s="11" t="n">
        <v>22009.1</v>
      </c>
    </row>
    <row r="14">
      <c r="A14" s="22" t="inlineStr">
        <is>
          <t>INV-2026-1013</t>
        </is>
      </c>
      <c r="B14" s="22" t="inlineStr">
        <is>
          <t>VND-1002</t>
        </is>
      </c>
      <c r="C14" s="22" t="inlineStr">
        <is>
          <t>Sterling Tech Solutions</t>
        </is>
      </c>
      <c r="D14" s="23" t="n">
        <v>46278</v>
      </c>
      <c r="E14" s="24" t="n">
        <v>40</v>
      </c>
      <c r="F14" s="11" t="n">
        <v>231.36</v>
      </c>
      <c r="G14" s="11" t="n">
        <v>9254.4</v>
      </c>
      <c r="H14" s="11" t="n">
        <v>1665.79</v>
      </c>
      <c r="I14" s="11" t="n">
        <v>10920.19</v>
      </c>
    </row>
    <row r="15">
      <c r="A15" s="22" t="inlineStr">
        <is>
          <t>INV-2026-1014</t>
        </is>
      </c>
      <c r="B15" s="22" t="inlineStr">
        <is>
          <t>VND-1003</t>
        </is>
      </c>
      <c r="C15" s="22" t="inlineStr">
        <is>
          <t>Beacon Office Supplies</t>
        </is>
      </c>
      <c r="D15" s="23" t="n">
        <v>46277</v>
      </c>
      <c r="E15" s="24" t="n">
        <v>50</v>
      </c>
      <c r="F15" s="11" t="n">
        <v>133.8</v>
      </c>
      <c r="G15" s="11" t="n">
        <v>6690</v>
      </c>
      <c r="H15" s="11" t="n">
        <v>1204.2</v>
      </c>
      <c r="I15" s="11" t="n">
        <v>7894.2</v>
      </c>
    </row>
    <row r="16">
      <c r="A16" s="22" t="inlineStr">
        <is>
          <t>INV-2026-1015</t>
        </is>
      </c>
      <c r="B16" s="22" t="inlineStr">
        <is>
          <t>VND-1002</t>
        </is>
      </c>
      <c r="C16" s="22" t="inlineStr">
        <is>
          <t>Sterling Tech Solutions</t>
        </is>
      </c>
      <c r="D16" s="23" t="n">
        <v>46285</v>
      </c>
      <c r="E16" s="24" t="n">
        <v>86</v>
      </c>
      <c r="F16" s="11" t="n">
        <v>118.46</v>
      </c>
      <c r="G16" s="11" t="n">
        <v>10187.56</v>
      </c>
      <c r="H16" s="11" t="n">
        <v>1833.76</v>
      </c>
      <c r="I16" s="11" t="n">
        <v>12021.32</v>
      </c>
    </row>
    <row r="17">
      <c r="A17" s="22" t="inlineStr">
        <is>
          <t>INV-2026-1016</t>
        </is>
      </c>
      <c r="B17" s="22" t="inlineStr">
        <is>
          <t>VND-1003</t>
        </is>
      </c>
      <c r="C17" s="22" t="inlineStr">
        <is>
          <t>Beacon Office Supplies</t>
        </is>
      </c>
      <c r="D17" s="23" t="n">
        <v>46280</v>
      </c>
      <c r="E17" s="24" t="n">
        <v>53</v>
      </c>
      <c r="F17" s="11" t="n">
        <v>157.98</v>
      </c>
      <c r="G17" s="11" t="n">
        <v>8372.940000000001</v>
      </c>
      <c r="H17" s="11" t="n">
        <v>1507.13</v>
      </c>
      <c r="I17" s="11" t="n">
        <v>9880.07</v>
      </c>
    </row>
    <row r="18">
      <c r="A18" s="22" t="inlineStr">
        <is>
          <t>INV-2026-1017</t>
        </is>
      </c>
      <c r="B18" s="22" t="inlineStr">
        <is>
          <t>VND-1006</t>
        </is>
      </c>
      <c r="C18" s="22" t="inlineStr">
        <is>
          <t>Falcon Facility Services</t>
        </is>
      </c>
      <c r="D18" s="23" t="n">
        <v>46292</v>
      </c>
      <c r="E18" s="24" t="n">
        <v>12</v>
      </c>
      <c r="F18" s="11" t="n">
        <v>141.62</v>
      </c>
      <c r="G18" s="11" t="n">
        <v>1699.44</v>
      </c>
      <c r="H18" s="11" t="n">
        <v>305.9</v>
      </c>
      <c r="I18" s="11" t="n">
        <v>2005.34</v>
      </c>
    </row>
    <row r="19">
      <c r="A19" s="22" t="inlineStr">
        <is>
          <t>INV-2026-1018</t>
        </is>
      </c>
      <c r="B19" s="22" t="inlineStr">
        <is>
          <t>VND-1001</t>
        </is>
      </c>
      <c r="C19" s="22" t="inlineStr">
        <is>
          <t>Apex Global Logistics</t>
        </is>
      </c>
      <c r="D19" s="23" t="n">
        <v>46291</v>
      </c>
      <c r="E19" s="24" t="n">
        <v>45</v>
      </c>
      <c r="F19" s="11" t="n">
        <v>210.47</v>
      </c>
      <c r="G19" s="11" t="n">
        <v>9471.15</v>
      </c>
      <c r="H19" s="11" t="n">
        <v>1704.81</v>
      </c>
      <c r="I19" s="11" t="n">
        <v>11175.96</v>
      </c>
    </row>
    <row r="20">
      <c r="A20" s="22" t="inlineStr">
        <is>
          <t>INV-2026-1019</t>
        </is>
      </c>
      <c r="B20" s="22" t="inlineStr">
        <is>
          <t>VND-1004</t>
        </is>
      </c>
      <c r="C20" s="22" t="inlineStr">
        <is>
          <t>Zenith Industrial Parts</t>
        </is>
      </c>
      <c r="D20" s="23" t="n">
        <v>46295</v>
      </c>
      <c r="E20" s="24" t="n">
        <v>77</v>
      </c>
      <c r="F20" s="11" t="n">
        <v>400.55</v>
      </c>
      <c r="G20" s="11" t="n">
        <v>30842.35</v>
      </c>
      <c r="H20" s="11" t="n">
        <v>5551.62</v>
      </c>
      <c r="I20" s="11" t="n">
        <v>36393.97</v>
      </c>
    </row>
    <row r="21">
      <c r="A21" s="22" t="inlineStr">
        <is>
          <t>INV-2026-1020</t>
        </is>
      </c>
      <c r="B21" s="22" t="inlineStr">
        <is>
          <t>VND-1006</t>
        </is>
      </c>
      <c r="C21" s="22" t="inlineStr">
        <is>
          <t>Falcon Facility Services</t>
        </is>
      </c>
      <c r="D21" s="23" t="n">
        <v>46272</v>
      </c>
      <c r="E21" s="24" t="n">
        <v>88</v>
      </c>
      <c r="F21" s="11" t="n">
        <v>249.69</v>
      </c>
      <c r="G21" s="11" t="n">
        <v>21972.72</v>
      </c>
      <c r="H21" s="11" t="n">
        <v>3955.09</v>
      </c>
      <c r="I21" s="11" t="n">
        <v>25927.81</v>
      </c>
    </row>
    <row r="22">
      <c r="A22" s="22" t="inlineStr">
        <is>
          <t>INV-2026-1021</t>
        </is>
      </c>
      <c r="B22" s="22" t="inlineStr">
        <is>
          <t>VND-1008</t>
        </is>
      </c>
      <c r="C22" s="22" t="inlineStr">
        <is>
          <t>Quantum Cloud Hosting</t>
        </is>
      </c>
      <c r="D22" s="23" t="n">
        <v>46270</v>
      </c>
      <c r="E22" s="24" t="n">
        <v>38</v>
      </c>
      <c r="F22" s="11" t="n">
        <v>105.85</v>
      </c>
      <c r="G22" s="11" t="n">
        <v>4022.3</v>
      </c>
      <c r="H22" s="11" t="n">
        <v>724.01</v>
      </c>
      <c r="I22" s="11" t="n">
        <v>4746.31</v>
      </c>
    </row>
    <row r="23">
      <c r="A23" s="22" t="inlineStr">
        <is>
          <t>INV-2026-1022</t>
        </is>
      </c>
      <c r="B23" s="22" t="inlineStr">
        <is>
          <t>VND-1007</t>
        </is>
      </c>
      <c r="C23" s="22" t="inlineStr">
        <is>
          <t>Nova Packaging Ltd</t>
        </is>
      </c>
      <c r="D23" s="23" t="n">
        <v>46294</v>
      </c>
      <c r="E23" s="24" t="n">
        <v>79</v>
      </c>
      <c r="F23" s="11" t="n">
        <v>209.76</v>
      </c>
      <c r="G23" s="11" t="n">
        <v>16571.04</v>
      </c>
      <c r="H23" s="11" t="n">
        <v>2982.79</v>
      </c>
      <c r="I23" s="11" t="n">
        <v>19553.83</v>
      </c>
    </row>
    <row r="24">
      <c r="A24" s="22" t="inlineStr">
        <is>
          <t>INV-2026-1023</t>
        </is>
      </c>
      <c r="B24" s="22" t="inlineStr">
        <is>
          <t>VND-1003</t>
        </is>
      </c>
      <c r="C24" s="22" t="inlineStr">
        <is>
          <t>Beacon Office Supplies</t>
        </is>
      </c>
      <c r="D24" s="23" t="n">
        <v>46282</v>
      </c>
      <c r="E24" s="24" t="n">
        <v>68</v>
      </c>
      <c r="F24" s="11" t="n">
        <v>86.36</v>
      </c>
      <c r="G24" s="11" t="n">
        <v>5872.48</v>
      </c>
      <c r="H24" s="11" t="n">
        <v>1057.05</v>
      </c>
      <c r="I24" s="11" t="n">
        <v>6929.53</v>
      </c>
    </row>
    <row r="25">
      <c r="A25" s="22" t="inlineStr">
        <is>
          <t>INV-2026-1024</t>
        </is>
      </c>
      <c r="B25" s="22" t="inlineStr">
        <is>
          <t>VND-1002</t>
        </is>
      </c>
      <c r="C25" s="22" t="inlineStr">
        <is>
          <t>Sterling Tech Solutions</t>
        </is>
      </c>
      <c r="D25" s="23" t="n">
        <v>46270</v>
      </c>
      <c r="E25" s="24" t="n">
        <v>85</v>
      </c>
      <c r="F25" s="11" t="n">
        <v>113.99</v>
      </c>
      <c r="G25" s="11" t="n">
        <v>9689.15</v>
      </c>
      <c r="H25" s="11" t="n">
        <v>1744.05</v>
      </c>
      <c r="I25" s="11" t="n">
        <v>11433.2</v>
      </c>
    </row>
    <row r="26">
      <c r="A26" s="22" t="inlineStr">
        <is>
          <t>INV-2026-1025</t>
        </is>
      </c>
      <c r="B26" s="22" t="inlineStr">
        <is>
          <t>VND-1002</t>
        </is>
      </c>
      <c r="C26" s="22" t="inlineStr">
        <is>
          <t>Sterling Tech Solutions</t>
        </is>
      </c>
      <c r="D26" s="23" t="n">
        <v>46278</v>
      </c>
      <c r="E26" s="24" t="n">
        <v>53</v>
      </c>
      <c r="F26" s="11" t="n">
        <v>288.36</v>
      </c>
      <c r="G26" s="11" t="n">
        <v>15283.08</v>
      </c>
      <c r="H26" s="11" t="n">
        <v>2750.95</v>
      </c>
      <c r="I26" s="11" t="n">
        <v>18034.03</v>
      </c>
    </row>
    <row r="27">
      <c r="A27" s="22" t="inlineStr">
        <is>
          <t>INV-2026-1026</t>
        </is>
      </c>
      <c r="B27" s="22" t="inlineStr">
        <is>
          <t>VND-1005</t>
        </is>
      </c>
      <c r="C27" s="22" t="inlineStr">
        <is>
          <t>Pinnacle Marketing Group</t>
        </is>
      </c>
      <c r="D27" s="23" t="n">
        <v>46283</v>
      </c>
      <c r="E27" s="24" t="n">
        <v>6</v>
      </c>
      <c r="F27" s="11" t="n">
        <v>322.11</v>
      </c>
      <c r="G27" s="11" t="n">
        <v>1932.66</v>
      </c>
      <c r="H27" s="11" t="n">
        <v>347.88</v>
      </c>
      <c r="I27" s="11" t="n">
        <v>2280.54</v>
      </c>
    </row>
    <row r="28">
      <c r="A28" s="22" t="inlineStr">
        <is>
          <t>INV-2026-1027</t>
        </is>
      </c>
      <c r="B28" s="22" t="inlineStr">
        <is>
          <t>VND-1005</t>
        </is>
      </c>
      <c r="C28" s="22" t="inlineStr">
        <is>
          <t>Pinnacle Marketing Group</t>
        </is>
      </c>
      <c r="D28" s="23" t="n">
        <v>46290</v>
      </c>
      <c r="E28" s="24" t="n">
        <v>87</v>
      </c>
      <c r="F28" s="11" t="n">
        <v>186.07</v>
      </c>
      <c r="G28" s="11" t="n">
        <v>16188.09</v>
      </c>
      <c r="H28" s="11" t="n">
        <v>2913.86</v>
      </c>
      <c r="I28" s="11" t="n">
        <v>19101.95</v>
      </c>
    </row>
    <row r="29">
      <c r="A29" s="22" t="inlineStr">
        <is>
          <t>INV-2026-1028</t>
        </is>
      </c>
      <c r="B29" s="22" t="inlineStr">
        <is>
          <t>VND-1005</t>
        </is>
      </c>
      <c r="C29" s="22" t="inlineStr">
        <is>
          <t>Pinnacle Marketing Group</t>
        </is>
      </c>
      <c r="D29" s="23" t="n">
        <v>46279</v>
      </c>
      <c r="E29" s="24" t="n">
        <v>25</v>
      </c>
      <c r="F29" s="11" t="n">
        <v>231.49</v>
      </c>
      <c r="G29" s="11" t="n">
        <v>5787.25</v>
      </c>
      <c r="H29" s="11" t="n">
        <v>1041.7</v>
      </c>
      <c r="I29" s="11" t="n">
        <v>6828.95</v>
      </c>
    </row>
    <row r="30">
      <c r="A30" s="22" t="inlineStr">
        <is>
          <t>INV-2026-1029</t>
        </is>
      </c>
      <c r="B30" s="22" t="inlineStr">
        <is>
          <t>VND-1003</t>
        </is>
      </c>
      <c r="C30" s="22" t="inlineStr">
        <is>
          <t>Beacon Office Supplies</t>
        </is>
      </c>
      <c r="D30" s="23" t="n">
        <v>46282</v>
      </c>
      <c r="E30" s="24" t="n">
        <v>18</v>
      </c>
      <c r="F30" s="11" t="n">
        <v>398.21</v>
      </c>
      <c r="G30" s="11" t="n">
        <v>7167.78</v>
      </c>
      <c r="H30" s="11" t="n">
        <v>1290.2</v>
      </c>
      <c r="I30" s="11" t="n">
        <v>8457.98</v>
      </c>
    </row>
    <row r="31">
      <c r="A31" s="22" t="inlineStr">
        <is>
          <t>INV-2026-1030</t>
        </is>
      </c>
      <c r="B31" s="22" t="inlineStr">
        <is>
          <t>VND-1005</t>
        </is>
      </c>
      <c r="C31" s="22" t="inlineStr">
        <is>
          <t>Pinnacle Marketing Group</t>
        </is>
      </c>
      <c r="D31" s="23" t="n">
        <v>46292</v>
      </c>
      <c r="E31" s="24" t="n">
        <v>86</v>
      </c>
      <c r="F31" s="11" t="n">
        <v>253.07</v>
      </c>
      <c r="G31" s="11" t="n">
        <v>21764.02</v>
      </c>
      <c r="H31" s="11" t="n">
        <v>3917.52</v>
      </c>
      <c r="I31" s="11" t="n">
        <v>25681.54</v>
      </c>
    </row>
    <row r="32">
      <c r="A32" s="22" t="inlineStr">
        <is>
          <t>INV-2026-1031</t>
        </is>
      </c>
      <c r="B32" s="22" t="inlineStr">
        <is>
          <t>VND-1004</t>
        </is>
      </c>
      <c r="C32" s="22" t="inlineStr">
        <is>
          <t>Zenith Industrial Parts</t>
        </is>
      </c>
      <c r="D32" s="23" t="n">
        <v>46270</v>
      </c>
      <c r="E32" s="24" t="n">
        <v>52</v>
      </c>
      <c r="F32" s="11" t="n">
        <v>355</v>
      </c>
      <c r="G32" s="11" t="n">
        <v>18460</v>
      </c>
      <c r="H32" s="11" t="n">
        <v>3322.8</v>
      </c>
      <c r="I32" s="11" t="n">
        <v>21782.8</v>
      </c>
    </row>
    <row r="33">
      <c r="A33" s="22" t="inlineStr">
        <is>
          <t>INV-2026-1032</t>
        </is>
      </c>
      <c r="B33" s="22" t="inlineStr">
        <is>
          <t>VND-1006</t>
        </is>
      </c>
      <c r="C33" s="22" t="inlineStr">
        <is>
          <t>Falcon Facility Services</t>
        </is>
      </c>
      <c r="D33" s="23" t="n">
        <v>46281</v>
      </c>
      <c r="E33" s="24" t="n">
        <v>7</v>
      </c>
      <c r="F33" s="11" t="n">
        <v>94.75</v>
      </c>
      <c r="G33" s="11" t="n">
        <v>663.25</v>
      </c>
      <c r="H33" s="11" t="n">
        <v>119.38</v>
      </c>
      <c r="I33" s="11" t="n">
        <v>782.63</v>
      </c>
    </row>
    <row r="34">
      <c r="A34" s="22" t="inlineStr">
        <is>
          <t>INV-2026-1033</t>
        </is>
      </c>
      <c r="B34" s="22" t="inlineStr">
        <is>
          <t>VND-1005</t>
        </is>
      </c>
      <c r="C34" s="22" t="inlineStr">
        <is>
          <t>Pinnacle Marketing Group</t>
        </is>
      </c>
      <c r="D34" s="23" t="n">
        <v>46273</v>
      </c>
      <c r="E34" s="24" t="n">
        <v>12</v>
      </c>
      <c r="F34" s="11" t="n">
        <v>146.35</v>
      </c>
      <c r="G34" s="11" t="n">
        <v>1756.2</v>
      </c>
      <c r="H34" s="11" t="n">
        <v>316.12</v>
      </c>
      <c r="I34" s="11" t="n">
        <v>2072.32</v>
      </c>
    </row>
    <row r="35">
      <c r="A35" s="22" t="inlineStr">
        <is>
          <t>INV-2026-1034</t>
        </is>
      </c>
      <c r="B35" s="22" t="inlineStr">
        <is>
          <t>VND-1002</t>
        </is>
      </c>
      <c r="C35" s="22" t="inlineStr">
        <is>
          <t>Sterling Tech Solutions</t>
        </is>
      </c>
      <c r="D35" s="23" t="n">
        <v>46289</v>
      </c>
      <c r="E35" s="24" t="n">
        <v>67</v>
      </c>
      <c r="F35" s="11" t="n">
        <v>376.41</v>
      </c>
      <c r="G35" s="11" t="n">
        <v>25219.47</v>
      </c>
      <c r="H35" s="11" t="n">
        <v>4539.5</v>
      </c>
      <c r="I35" s="11" t="n">
        <v>29758.97</v>
      </c>
    </row>
    <row r="36">
      <c r="A36" s="22" t="inlineStr">
        <is>
          <t>INV-2026-1035</t>
        </is>
      </c>
      <c r="B36" s="22" t="inlineStr">
        <is>
          <t>VND-1003</t>
        </is>
      </c>
      <c r="C36" s="22" t="inlineStr">
        <is>
          <t>Beacon Office Supplies</t>
        </is>
      </c>
      <c r="D36" s="23" t="n">
        <v>46287</v>
      </c>
      <c r="E36" s="24" t="n">
        <v>65</v>
      </c>
      <c r="F36" s="11" t="n">
        <v>428.74</v>
      </c>
      <c r="G36" s="11" t="n">
        <v>27868.1</v>
      </c>
      <c r="H36" s="11" t="n">
        <v>5016.26</v>
      </c>
      <c r="I36" s="11" t="n">
        <v>32884.36</v>
      </c>
    </row>
    <row r="37">
      <c r="A37" s="22" t="inlineStr">
        <is>
          <t>INV-2026-1036</t>
        </is>
      </c>
      <c r="B37" s="22" t="inlineStr">
        <is>
          <t>VND-1005</t>
        </is>
      </c>
      <c r="C37" s="22" t="inlineStr">
        <is>
          <t>Pinnacle Marketing Group</t>
        </is>
      </c>
      <c r="D37" s="23" t="n">
        <v>46282</v>
      </c>
      <c r="E37" s="24" t="n">
        <v>82</v>
      </c>
      <c r="F37" s="11" t="n">
        <v>219.26</v>
      </c>
      <c r="G37" s="11" t="n">
        <v>17979.32</v>
      </c>
      <c r="H37" s="11" t="n">
        <v>3236.28</v>
      </c>
      <c r="I37" s="11" t="n">
        <v>21215.6</v>
      </c>
    </row>
    <row r="38">
      <c r="A38" s="22" t="inlineStr">
        <is>
          <t>INV-2026-1037</t>
        </is>
      </c>
      <c r="B38" s="22" t="inlineStr">
        <is>
          <t>VND-1004</t>
        </is>
      </c>
      <c r="C38" s="22" t="inlineStr">
        <is>
          <t>Zenith Industrial Parts</t>
        </is>
      </c>
      <c r="D38" s="23" t="n">
        <v>46288</v>
      </c>
      <c r="E38" s="24" t="n">
        <v>44</v>
      </c>
      <c r="F38" s="11" t="n">
        <v>209.6</v>
      </c>
      <c r="G38" s="11" t="n">
        <v>9222.4</v>
      </c>
      <c r="H38" s="11" t="n">
        <v>1660.03</v>
      </c>
      <c r="I38" s="11" t="n">
        <v>10882.43</v>
      </c>
    </row>
    <row r="39">
      <c r="A39" s="22" t="inlineStr">
        <is>
          <t>INV-2026-1038</t>
        </is>
      </c>
      <c r="B39" s="22" t="inlineStr">
        <is>
          <t>VND-1006</t>
        </is>
      </c>
      <c r="C39" s="22" t="inlineStr">
        <is>
          <t>Falcon Facility Services</t>
        </is>
      </c>
      <c r="D39" s="23" t="n">
        <v>46280</v>
      </c>
      <c r="E39" s="24" t="n">
        <v>71</v>
      </c>
      <c r="F39" s="11" t="n">
        <v>230.59</v>
      </c>
      <c r="G39" s="11" t="n">
        <v>16371.89</v>
      </c>
      <c r="H39" s="11" t="n">
        <v>2946.94</v>
      </c>
      <c r="I39" s="11" t="n">
        <v>19318.83</v>
      </c>
    </row>
    <row r="40">
      <c r="A40" s="22" t="inlineStr">
        <is>
          <t>INV-2026-1039</t>
        </is>
      </c>
      <c r="B40" s="22" t="inlineStr">
        <is>
          <t>VND-1004</t>
        </is>
      </c>
      <c r="C40" s="22" t="inlineStr">
        <is>
          <t>Zenith Industrial Parts</t>
        </is>
      </c>
      <c r="D40" s="23" t="n">
        <v>46268</v>
      </c>
      <c r="E40" s="24" t="n">
        <v>48</v>
      </c>
      <c r="F40" s="11" t="n">
        <v>58.41</v>
      </c>
      <c r="G40" s="11" t="n">
        <v>2803.68</v>
      </c>
      <c r="H40" s="11" t="n">
        <v>504.66</v>
      </c>
      <c r="I40" s="11" t="n">
        <v>3308.34</v>
      </c>
    </row>
    <row r="41">
      <c r="A41" s="22" t="inlineStr">
        <is>
          <t>INV-2026-1040</t>
        </is>
      </c>
      <c r="B41" s="22" t="inlineStr">
        <is>
          <t>VND-1004</t>
        </is>
      </c>
      <c r="C41" s="22" t="inlineStr">
        <is>
          <t>Zenith Industrial Parts</t>
        </is>
      </c>
      <c r="D41" s="23" t="n">
        <v>46284</v>
      </c>
      <c r="E41" s="24" t="n">
        <v>33</v>
      </c>
      <c r="F41" s="11" t="n">
        <v>52.88</v>
      </c>
      <c r="G41" s="11" t="n">
        <v>1745.04</v>
      </c>
      <c r="H41" s="11" t="n">
        <v>314.11</v>
      </c>
      <c r="I41" s="11" t="n">
        <v>2059.15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7" customWidth="1" min="3" max="3"/>
    <col width="15" customWidth="1" min="4" max="4"/>
    <col width="15" customWidth="1" min="5" max="5"/>
    <col width="19" customWidth="1" min="6" max="6"/>
    <col width="18" customWidth="1" min="7" max="7"/>
    <col width="13" customWidth="1" min="8" max="8"/>
    <col width="21" customWidth="1" min="9" max="9"/>
    <col width="24" customWidth="1" min="10" max="10"/>
  </cols>
  <sheetData>
    <row r="1">
      <c r="A1" s="25" t="inlineStr">
        <is>
          <t>Invoice Reference</t>
        </is>
      </c>
      <c r="B1" s="25" t="inlineStr">
        <is>
          <t>Vendor ID</t>
        </is>
      </c>
      <c r="C1" s="25" t="inlineStr">
        <is>
          <t>Vendor Name</t>
        </is>
      </c>
      <c r="D1" s="25" t="inlineStr">
        <is>
          <t>Posting Date</t>
        </is>
      </c>
      <c r="E1" s="25" t="inlineStr">
        <is>
          <t>Received Qty</t>
        </is>
      </c>
      <c r="F1" s="25" t="inlineStr">
        <is>
          <t>PO Unit Rate ($)</t>
        </is>
      </c>
      <c r="G1" s="25" t="inlineStr">
        <is>
          <t>AP Subtotal ($)</t>
        </is>
      </c>
      <c r="H1" s="25" t="inlineStr">
        <is>
          <t>AP Tax ($)</t>
        </is>
      </c>
      <c r="I1" s="25" t="inlineStr">
        <is>
          <t>Total Approved ($)</t>
        </is>
      </c>
      <c r="J1" s="25" t="inlineStr">
        <is>
          <t>Approval Status</t>
        </is>
      </c>
    </row>
    <row r="2">
      <c r="A2" s="22" t="inlineStr">
        <is>
          <t>INV-2026-1001</t>
        </is>
      </c>
      <c r="B2" s="22" t="inlineStr">
        <is>
          <t>VND-1002</t>
        </is>
      </c>
      <c r="C2" s="22" t="inlineStr">
        <is>
          <t>Sterling Tech Solutions</t>
        </is>
      </c>
      <c r="D2" s="23" t="n">
        <v>46266</v>
      </c>
      <c r="E2" s="24" t="n">
        <v>99</v>
      </c>
      <c r="F2" s="11" t="n">
        <v>160.01</v>
      </c>
      <c r="G2" s="11" t="n">
        <v>15840.99</v>
      </c>
      <c r="H2" s="11" t="n">
        <v>2851.38</v>
      </c>
      <c r="I2" s="11" t="n">
        <v>18692.37</v>
      </c>
      <c r="J2" s="22" t="inlineStr">
        <is>
          <t>Approved</t>
        </is>
      </c>
    </row>
    <row r="3">
      <c r="A3" s="22" t="inlineStr">
        <is>
          <t>INV-2026-1002</t>
        </is>
      </c>
      <c r="B3" s="22" t="inlineStr">
        <is>
          <t>VND-1003</t>
        </is>
      </c>
      <c r="C3" s="22" t="inlineStr">
        <is>
          <t>Beacon Office Supplies</t>
        </is>
      </c>
      <c r="D3" s="23" t="n">
        <v>46289</v>
      </c>
      <c r="E3" s="24" t="n">
        <v>18</v>
      </c>
      <c r="F3" s="11" t="n">
        <v>320.68</v>
      </c>
      <c r="G3" s="11" t="n">
        <v>5772.24</v>
      </c>
      <c r="H3" s="11" t="n">
        <v>1039</v>
      </c>
      <c r="I3" s="11" t="n">
        <v>6811.24</v>
      </c>
      <c r="J3" s="22" t="inlineStr">
        <is>
          <t>Approved</t>
        </is>
      </c>
    </row>
    <row r="4">
      <c r="A4" s="22" t="inlineStr">
        <is>
          <t>INV-2026-1003</t>
        </is>
      </c>
      <c r="B4" s="22" t="inlineStr">
        <is>
          <t>VND-1007</t>
        </is>
      </c>
      <c r="C4" s="22" t="inlineStr">
        <is>
          <t>Nova Packaging Ltd</t>
        </is>
      </c>
      <c r="D4" s="23" t="n">
        <v>46267</v>
      </c>
      <c r="E4" s="24" t="n">
        <v>8</v>
      </c>
      <c r="F4" s="11" t="n">
        <v>87.48</v>
      </c>
      <c r="G4" s="11" t="n">
        <v>699.84</v>
      </c>
      <c r="H4" s="11" t="n">
        <v>125.97</v>
      </c>
      <c r="I4" s="11" t="n">
        <v>825.8099999999999</v>
      </c>
      <c r="J4" s="22" t="inlineStr">
        <is>
          <t>Approved</t>
        </is>
      </c>
    </row>
    <row r="5">
      <c r="A5" s="22" t="inlineStr">
        <is>
          <t>INV-2026-1004</t>
        </is>
      </c>
      <c r="B5" s="22" t="inlineStr">
        <is>
          <t>VND-1001</t>
        </is>
      </c>
      <c r="C5" s="22" t="inlineStr">
        <is>
          <t>Apex Global Logistics</t>
        </is>
      </c>
      <c r="D5" s="23" t="n">
        <v>46283</v>
      </c>
      <c r="E5" s="24" t="n">
        <v>30</v>
      </c>
      <c r="F5" s="11" t="n">
        <v>336.41</v>
      </c>
      <c r="G5" s="11" t="n">
        <v>10092.3</v>
      </c>
      <c r="H5" s="11" t="n">
        <v>1816.61</v>
      </c>
      <c r="I5" s="11" t="n">
        <v>11908.91</v>
      </c>
      <c r="J5" s="22" t="inlineStr">
        <is>
          <t>Approved</t>
        </is>
      </c>
    </row>
    <row r="6">
      <c r="A6" s="22" t="inlineStr">
        <is>
          <t>INV-2026-1005</t>
        </is>
      </c>
      <c r="B6" s="22" t="inlineStr">
        <is>
          <t>VND-1004</t>
        </is>
      </c>
      <c r="C6" s="22" t="inlineStr">
        <is>
          <t>Zenith Industrial Parts</t>
        </is>
      </c>
      <c r="D6" s="23" t="n">
        <v>46280</v>
      </c>
      <c r="E6" s="24" t="n">
        <v>80</v>
      </c>
      <c r="F6" s="11" t="n">
        <v>161.28</v>
      </c>
      <c r="G6" s="11" t="n">
        <v>12902.4</v>
      </c>
      <c r="H6" s="11" t="n">
        <v>2322.43</v>
      </c>
      <c r="I6" s="11" t="n">
        <v>15224.83</v>
      </c>
      <c r="J6" s="22" t="inlineStr">
        <is>
          <t>Approved</t>
        </is>
      </c>
    </row>
    <row r="7">
      <c r="A7" s="22" t="inlineStr">
        <is>
          <t>INV-2026-1006</t>
        </is>
      </c>
      <c r="B7" s="22" t="inlineStr">
        <is>
          <t>VND-1003</t>
        </is>
      </c>
      <c r="C7" s="22" t="inlineStr">
        <is>
          <t>Beacon Office Supplies</t>
        </is>
      </c>
      <c r="D7" s="23" t="n">
        <v>46288</v>
      </c>
      <c r="E7" s="24" t="n">
        <v>59</v>
      </c>
      <c r="F7" s="11" t="n">
        <v>186.1</v>
      </c>
      <c r="G7" s="11" t="n">
        <v>10979.9</v>
      </c>
      <c r="H7" s="11" t="n">
        <v>1976.38</v>
      </c>
      <c r="I7" s="11" t="n">
        <v>12956.28</v>
      </c>
      <c r="J7" s="22" t="inlineStr">
        <is>
          <t>Approved</t>
        </is>
      </c>
    </row>
    <row r="8">
      <c r="A8" s="22" t="inlineStr">
        <is>
          <t>INV-2026-1007</t>
        </is>
      </c>
      <c r="B8" s="22" t="inlineStr">
        <is>
          <t>VND-1004</t>
        </is>
      </c>
      <c r="C8" s="22" t="inlineStr">
        <is>
          <t>Zenith Industrial Parts</t>
        </is>
      </c>
      <c r="D8" s="23" t="n">
        <v>46296</v>
      </c>
      <c r="E8" s="24" t="n">
        <v>48</v>
      </c>
      <c r="F8" s="11" t="n">
        <v>86.34</v>
      </c>
      <c r="G8" s="11" t="n">
        <v>4144.32</v>
      </c>
      <c r="H8" s="11" t="n">
        <v>745.98</v>
      </c>
      <c r="I8" s="11" t="n">
        <v>4890.3</v>
      </c>
      <c r="J8" s="22" t="inlineStr">
        <is>
          <t>Rate Disputed</t>
        </is>
      </c>
    </row>
    <row r="9">
      <c r="A9" s="22" t="inlineStr">
        <is>
          <t>INV-2026-1008</t>
        </is>
      </c>
      <c r="B9" s="22" t="inlineStr">
        <is>
          <t>VND-1007</t>
        </is>
      </c>
      <c r="C9" s="22" t="inlineStr">
        <is>
          <t>Nova Packaging Ltd</t>
        </is>
      </c>
      <c r="D9" s="23" t="n">
        <v>46269</v>
      </c>
      <c r="E9" s="24" t="n">
        <v>46</v>
      </c>
      <c r="F9" s="11" t="n">
        <v>389</v>
      </c>
      <c r="G9" s="11" t="n">
        <v>17894</v>
      </c>
      <c r="H9" s="11" t="n">
        <v>3220.92</v>
      </c>
      <c r="I9" s="11" t="n">
        <v>21114.92</v>
      </c>
      <c r="J9" s="22" t="inlineStr">
        <is>
          <t>Short-Shipment Logged</t>
        </is>
      </c>
    </row>
    <row r="10">
      <c r="A10" s="22" t="inlineStr">
        <is>
          <t>INV-2026-1010</t>
        </is>
      </c>
      <c r="B10" s="22" t="inlineStr">
        <is>
          <t>VND-1007</t>
        </is>
      </c>
      <c r="C10" s="22" t="inlineStr">
        <is>
          <t>Nova Packaging Ltd</t>
        </is>
      </c>
      <c r="D10" s="23" t="n">
        <v>46268</v>
      </c>
      <c r="E10" s="24" t="n">
        <v>75</v>
      </c>
      <c r="F10" s="11" t="n">
        <v>167.27</v>
      </c>
      <c r="G10" s="11" t="n">
        <v>12545.25</v>
      </c>
      <c r="H10" s="11" t="n">
        <v>2258.14</v>
      </c>
      <c r="I10" s="11" t="n">
        <v>14803.39</v>
      </c>
      <c r="J10" s="22" t="inlineStr">
        <is>
          <t>Pending Clearance</t>
        </is>
      </c>
    </row>
    <row r="11">
      <c r="A11" s="22" t="inlineStr">
        <is>
          <t>INV-2026-1011</t>
        </is>
      </c>
      <c r="B11" s="22" t="inlineStr">
        <is>
          <t>VND-1006</t>
        </is>
      </c>
      <c r="C11" s="22" t="inlineStr">
        <is>
          <t>Falcon Facility Services</t>
        </is>
      </c>
      <c r="D11" s="23" t="n">
        <v>46284</v>
      </c>
      <c r="E11" s="24" t="n">
        <v>29</v>
      </c>
      <c r="F11" s="11" t="n">
        <v>331.83</v>
      </c>
      <c r="G11" s="11" t="n">
        <v>9623.07</v>
      </c>
      <c r="H11" s="11" t="n">
        <v>1732.15</v>
      </c>
      <c r="I11" s="11" t="n">
        <v>11355.22</v>
      </c>
      <c r="J11" s="22" t="inlineStr">
        <is>
          <t>Approved</t>
        </is>
      </c>
    </row>
    <row r="12">
      <c r="A12" s="22" t="inlineStr">
        <is>
          <t>INV-2026-1012</t>
        </is>
      </c>
      <c r="B12" s="22" t="inlineStr">
        <is>
          <t>VND-1004</t>
        </is>
      </c>
      <c r="C12" s="22" t="inlineStr">
        <is>
          <t>Zenith Industrial Parts</t>
        </is>
      </c>
      <c r="D12" s="23" t="n">
        <v>46290</v>
      </c>
      <c r="E12" s="24" t="n">
        <v>42</v>
      </c>
      <c r="F12" s="11" t="n">
        <v>444.09</v>
      </c>
      <c r="G12" s="11" t="n">
        <v>18651.78</v>
      </c>
      <c r="H12" s="11" t="n">
        <v>3357.32</v>
      </c>
      <c r="I12" s="11" t="n">
        <v>22009.1</v>
      </c>
      <c r="J12" s="22" t="inlineStr">
        <is>
          <t>Approved</t>
        </is>
      </c>
    </row>
    <row r="13">
      <c r="A13" s="22" t="inlineStr">
        <is>
          <t>INV-2026-1013</t>
        </is>
      </c>
      <c r="B13" s="22" t="inlineStr">
        <is>
          <t>VND-1002</t>
        </is>
      </c>
      <c r="C13" s="22" t="inlineStr">
        <is>
          <t>Sterling Tech Solutions</t>
        </is>
      </c>
      <c r="D13" s="23" t="n">
        <v>46278</v>
      </c>
      <c r="E13" s="24" t="n">
        <v>40</v>
      </c>
      <c r="F13" s="11" t="n">
        <v>231.36</v>
      </c>
      <c r="G13" s="11" t="n">
        <v>9254.4</v>
      </c>
      <c r="H13" s="11" t="n">
        <v>1665.79</v>
      </c>
      <c r="I13" s="11" t="n">
        <v>10920.19</v>
      </c>
      <c r="J13" s="22" t="inlineStr">
        <is>
          <t>Approved</t>
        </is>
      </c>
    </row>
    <row r="14">
      <c r="A14" s="22" t="inlineStr">
        <is>
          <t>INV-2026-1014</t>
        </is>
      </c>
      <c r="B14" s="22" t="inlineStr">
        <is>
          <t>VND-1003</t>
        </is>
      </c>
      <c r="C14" s="22" t="inlineStr">
        <is>
          <t>Beacon Office Supplies</t>
        </is>
      </c>
      <c r="D14" s="23" t="n">
        <v>46277</v>
      </c>
      <c r="E14" s="24" t="n">
        <v>50</v>
      </c>
      <c r="F14" s="11" t="n">
        <v>133.8</v>
      </c>
      <c r="G14" s="11" t="n">
        <v>6690</v>
      </c>
      <c r="H14" s="11" t="n">
        <v>1204.2</v>
      </c>
      <c r="I14" s="11" t="n">
        <v>7894.2</v>
      </c>
      <c r="J14" s="22" t="inlineStr">
        <is>
          <t>Approved</t>
        </is>
      </c>
    </row>
    <row r="15">
      <c r="A15" s="22" t="inlineStr">
        <is>
          <t>INV-2026-1015</t>
        </is>
      </c>
      <c r="B15" s="22" t="inlineStr">
        <is>
          <t>VND-1002</t>
        </is>
      </c>
      <c r="C15" s="22" t="inlineStr">
        <is>
          <t>Sterling Tech Solutions</t>
        </is>
      </c>
      <c r="D15" s="23" t="n">
        <v>46285</v>
      </c>
      <c r="E15" s="24" t="n">
        <v>86</v>
      </c>
      <c r="F15" s="11" t="n">
        <v>118.46</v>
      </c>
      <c r="G15" s="11" t="n">
        <v>10187.56</v>
      </c>
      <c r="H15" s="11" t="n">
        <v>1833.76</v>
      </c>
      <c r="I15" s="11" t="n">
        <v>12021.32</v>
      </c>
      <c r="J15" s="22" t="inlineStr">
        <is>
          <t>Approved</t>
        </is>
      </c>
    </row>
    <row r="16">
      <c r="A16" s="22" t="inlineStr">
        <is>
          <t>INV-2026-1016</t>
        </is>
      </c>
      <c r="B16" s="22" t="inlineStr">
        <is>
          <t>VND-1003</t>
        </is>
      </c>
      <c r="C16" s="22" t="inlineStr">
        <is>
          <t>Beacon Office Supplies</t>
        </is>
      </c>
      <c r="D16" s="23" t="n">
        <v>46280</v>
      </c>
      <c r="E16" s="24" t="n">
        <v>53</v>
      </c>
      <c r="F16" s="11" t="n">
        <v>157.98</v>
      </c>
      <c r="G16" s="11" t="n">
        <v>8372.940000000001</v>
      </c>
      <c r="H16" s="11" t="n">
        <v>1507.13</v>
      </c>
      <c r="I16" s="11" t="n">
        <v>9880.07</v>
      </c>
      <c r="J16" s="22" t="inlineStr">
        <is>
          <t>Approved</t>
        </is>
      </c>
    </row>
    <row r="17">
      <c r="A17" s="22" t="inlineStr">
        <is>
          <t>INV-2026-1017</t>
        </is>
      </c>
      <c r="B17" s="22" t="inlineStr">
        <is>
          <t>VND-1006</t>
        </is>
      </c>
      <c r="C17" s="22" t="inlineStr">
        <is>
          <t>Falcon Facility Services</t>
        </is>
      </c>
      <c r="D17" s="23" t="n">
        <v>46292</v>
      </c>
      <c r="E17" s="24" t="n">
        <v>12</v>
      </c>
      <c r="F17" s="11" t="n">
        <v>134.54</v>
      </c>
      <c r="G17" s="11" t="n">
        <v>1614.48</v>
      </c>
      <c r="H17" s="11" t="n">
        <v>290.61</v>
      </c>
      <c r="I17" s="11" t="n">
        <v>1905.09</v>
      </c>
      <c r="J17" s="22" t="inlineStr">
        <is>
          <t>Rate Disputed</t>
        </is>
      </c>
    </row>
    <row r="18">
      <c r="A18" s="22" t="inlineStr">
        <is>
          <t>INV-2026-1018</t>
        </is>
      </c>
      <c r="B18" s="22" t="inlineStr">
        <is>
          <t>VND-1001</t>
        </is>
      </c>
      <c r="C18" s="22" t="inlineStr">
        <is>
          <t>Apex Global Logistics</t>
        </is>
      </c>
      <c r="D18" s="23" t="n">
        <v>46291</v>
      </c>
      <c r="E18" s="24" t="n">
        <v>43</v>
      </c>
      <c r="F18" s="11" t="n">
        <v>210.47</v>
      </c>
      <c r="G18" s="11" t="n">
        <v>9050.209999999999</v>
      </c>
      <c r="H18" s="11" t="n">
        <v>1629.04</v>
      </c>
      <c r="I18" s="11" t="n">
        <v>10679.25</v>
      </c>
      <c r="J18" s="22" t="inlineStr">
        <is>
          <t>Short-Shipment Logged</t>
        </is>
      </c>
    </row>
    <row r="19">
      <c r="A19" s="22" t="inlineStr">
        <is>
          <t>INV-2026-1020</t>
        </is>
      </c>
      <c r="B19" s="22" t="inlineStr">
        <is>
          <t>VND-1006</t>
        </is>
      </c>
      <c r="C19" s="22" t="inlineStr">
        <is>
          <t>Falcon Facility Services</t>
        </is>
      </c>
      <c r="D19" s="23" t="n">
        <v>46272</v>
      </c>
      <c r="E19" s="24" t="n">
        <v>88</v>
      </c>
      <c r="F19" s="11" t="n">
        <v>249.69</v>
      </c>
      <c r="G19" s="11" t="n">
        <v>21972.72</v>
      </c>
      <c r="H19" s="11" t="n">
        <v>3955.09</v>
      </c>
      <c r="I19" s="11" t="n">
        <v>25927.81</v>
      </c>
      <c r="J19" s="22" t="inlineStr">
        <is>
          <t>Pending Clearance</t>
        </is>
      </c>
    </row>
    <row r="20">
      <c r="A20" s="22" t="inlineStr">
        <is>
          <t>INV-2026-1021</t>
        </is>
      </c>
      <c r="B20" s="22" t="inlineStr">
        <is>
          <t>VND-1008</t>
        </is>
      </c>
      <c r="C20" s="22" t="inlineStr">
        <is>
          <t>Quantum Cloud Hosting</t>
        </is>
      </c>
      <c r="D20" s="23" t="n">
        <v>46270</v>
      </c>
      <c r="E20" s="24" t="n">
        <v>38</v>
      </c>
      <c r="F20" s="11" t="n">
        <v>105.85</v>
      </c>
      <c r="G20" s="11" t="n">
        <v>4022.3</v>
      </c>
      <c r="H20" s="11" t="n">
        <v>724.01</v>
      </c>
      <c r="I20" s="11" t="n">
        <v>4746.31</v>
      </c>
      <c r="J20" s="22" t="inlineStr">
        <is>
          <t>Approved</t>
        </is>
      </c>
    </row>
    <row r="21">
      <c r="A21" s="22" t="inlineStr">
        <is>
          <t>INV-2026-1022</t>
        </is>
      </c>
      <c r="B21" s="22" t="inlineStr">
        <is>
          <t>VND-1007</t>
        </is>
      </c>
      <c r="C21" s="22" t="inlineStr">
        <is>
          <t>Nova Packaging Ltd</t>
        </is>
      </c>
      <c r="D21" s="23" t="n">
        <v>46294</v>
      </c>
      <c r="E21" s="24" t="n">
        <v>79</v>
      </c>
      <c r="F21" s="11" t="n">
        <v>209.76</v>
      </c>
      <c r="G21" s="11" t="n">
        <v>16571.04</v>
      </c>
      <c r="H21" s="11" t="n">
        <v>2982.79</v>
      </c>
      <c r="I21" s="11" t="n">
        <v>19553.83</v>
      </c>
      <c r="J21" s="22" t="inlineStr">
        <is>
          <t>Approved</t>
        </is>
      </c>
    </row>
    <row r="22">
      <c r="A22" s="22" t="inlineStr">
        <is>
          <t>INV-2026-1023</t>
        </is>
      </c>
      <c r="B22" s="22" t="inlineStr">
        <is>
          <t>VND-1003</t>
        </is>
      </c>
      <c r="C22" s="22" t="inlineStr">
        <is>
          <t>Beacon Office Supplies</t>
        </is>
      </c>
      <c r="D22" s="23" t="n">
        <v>46282</v>
      </c>
      <c r="E22" s="24" t="n">
        <v>68</v>
      </c>
      <c r="F22" s="11" t="n">
        <v>86.36</v>
      </c>
      <c r="G22" s="11" t="n">
        <v>5872.48</v>
      </c>
      <c r="H22" s="11" t="n">
        <v>1057.05</v>
      </c>
      <c r="I22" s="11" t="n">
        <v>6929.53</v>
      </c>
      <c r="J22" s="22" t="inlineStr">
        <is>
          <t>Approved</t>
        </is>
      </c>
    </row>
    <row r="23">
      <c r="A23" s="22" t="inlineStr">
        <is>
          <t>INV-2026-1024</t>
        </is>
      </c>
      <c r="B23" s="22" t="inlineStr">
        <is>
          <t>VND-1002</t>
        </is>
      </c>
      <c r="C23" s="22" t="inlineStr">
        <is>
          <t>Sterling Tech Solutions</t>
        </is>
      </c>
      <c r="D23" s="23" t="n">
        <v>46270</v>
      </c>
      <c r="E23" s="24" t="n">
        <v>85</v>
      </c>
      <c r="F23" s="11" t="n">
        <v>113.99</v>
      </c>
      <c r="G23" s="11" t="n">
        <v>9689.15</v>
      </c>
      <c r="H23" s="11" t="n">
        <v>1744.05</v>
      </c>
      <c r="I23" s="11" t="n">
        <v>11433.2</v>
      </c>
      <c r="J23" s="22" t="inlineStr">
        <is>
          <t>Approved</t>
        </is>
      </c>
    </row>
    <row r="24">
      <c r="A24" s="22" t="inlineStr">
        <is>
          <t>INV-2026-1025</t>
        </is>
      </c>
      <c r="B24" s="22" t="inlineStr">
        <is>
          <t>VND-1002</t>
        </is>
      </c>
      <c r="C24" s="22" t="inlineStr">
        <is>
          <t>Sterling Tech Solutions</t>
        </is>
      </c>
      <c r="D24" s="23" t="n">
        <v>46278</v>
      </c>
      <c r="E24" s="24" t="n">
        <v>53</v>
      </c>
      <c r="F24" s="11" t="n">
        <v>288.36</v>
      </c>
      <c r="G24" s="11" t="n">
        <v>15283.08</v>
      </c>
      <c r="H24" s="11" t="n">
        <v>2750.95</v>
      </c>
      <c r="I24" s="11" t="n">
        <v>18034.03</v>
      </c>
      <c r="J24" s="22" t="inlineStr">
        <is>
          <t>Approved</t>
        </is>
      </c>
    </row>
    <row r="25">
      <c r="A25" s="22" t="inlineStr">
        <is>
          <t>INV-2026-1026</t>
        </is>
      </c>
      <c r="B25" s="22" t="inlineStr">
        <is>
          <t>VND-1005</t>
        </is>
      </c>
      <c r="C25" s="22" t="inlineStr">
        <is>
          <t>Pinnacle Marketing Group</t>
        </is>
      </c>
      <c r="D25" s="23" t="n">
        <v>46283</v>
      </c>
      <c r="E25" s="24" t="n">
        <v>6</v>
      </c>
      <c r="F25" s="11" t="n">
        <v>322.11</v>
      </c>
      <c r="G25" s="11" t="n">
        <v>1932.66</v>
      </c>
      <c r="H25" s="11" t="n">
        <v>347.88</v>
      </c>
      <c r="I25" s="11" t="n">
        <v>2280.54</v>
      </c>
      <c r="J25" s="22" t="inlineStr">
        <is>
          <t>Approved</t>
        </is>
      </c>
    </row>
    <row r="26">
      <c r="A26" s="22" t="inlineStr">
        <is>
          <t>INV-2026-1027</t>
        </is>
      </c>
      <c r="B26" s="22" t="inlineStr">
        <is>
          <t>VND-1005</t>
        </is>
      </c>
      <c r="C26" s="22" t="inlineStr">
        <is>
          <t>Pinnacle Marketing Group</t>
        </is>
      </c>
      <c r="D26" s="23" t="n">
        <v>46290</v>
      </c>
      <c r="E26" s="24" t="n">
        <v>87</v>
      </c>
      <c r="F26" s="11" t="n">
        <v>176.77</v>
      </c>
      <c r="G26" s="11" t="n">
        <v>15378.99</v>
      </c>
      <c r="H26" s="11" t="n">
        <v>2768.22</v>
      </c>
      <c r="I26" s="11" t="n">
        <v>18147.21</v>
      </c>
      <c r="J26" s="22" t="inlineStr">
        <is>
          <t>Rate Disputed</t>
        </is>
      </c>
    </row>
    <row r="27">
      <c r="A27" s="22" t="inlineStr">
        <is>
          <t>INV-2026-1028</t>
        </is>
      </c>
      <c r="B27" s="22" t="inlineStr">
        <is>
          <t>VND-1005</t>
        </is>
      </c>
      <c r="C27" s="22" t="inlineStr">
        <is>
          <t>Pinnacle Marketing Group</t>
        </is>
      </c>
      <c r="D27" s="23" t="n">
        <v>46279</v>
      </c>
      <c r="E27" s="24" t="n">
        <v>21</v>
      </c>
      <c r="F27" s="11" t="n">
        <v>231.49</v>
      </c>
      <c r="G27" s="11" t="n">
        <v>4861.29</v>
      </c>
      <c r="H27" s="11" t="n">
        <v>875.03</v>
      </c>
      <c r="I27" s="11" t="n">
        <v>5736.32</v>
      </c>
      <c r="J27" s="22" t="inlineStr">
        <is>
          <t>Short-Shipment Logged</t>
        </is>
      </c>
    </row>
    <row r="28">
      <c r="A28" s="22" t="inlineStr">
        <is>
          <t>INV-2026-1030</t>
        </is>
      </c>
      <c r="B28" s="22" t="inlineStr">
        <is>
          <t>VND-1005</t>
        </is>
      </c>
      <c r="C28" s="22" t="inlineStr">
        <is>
          <t>Pinnacle Marketing Group</t>
        </is>
      </c>
      <c r="D28" s="23" t="n">
        <v>46292</v>
      </c>
      <c r="E28" s="24" t="n">
        <v>86</v>
      </c>
      <c r="F28" s="11" t="n">
        <v>253.07</v>
      </c>
      <c r="G28" s="11" t="n">
        <v>21764.02</v>
      </c>
      <c r="H28" s="11" t="n">
        <v>3917.52</v>
      </c>
      <c r="I28" s="11" t="n">
        <v>25681.54</v>
      </c>
      <c r="J28" s="22" t="inlineStr">
        <is>
          <t>Pending Clearance</t>
        </is>
      </c>
    </row>
    <row r="29">
      <c r="A29" s="22" t="inlineStr">
        <is>
          <t>INV-2026-1031</t>
        </is>
      </c>
      <c r="B29" s="22" t="inlineStr">
        <is>
          <t>VND-1004</t>
        </is>
      </c>
      <c r="C29" s="22" t="inlineStr">
        <is>
          <t>Zenith Industrial Parts</t>
        </is>
      </c>
      <c r="D29" s="23" t="n">
        <v>46270</v>
      </c>
      <c r="E29" s="24" t="n">
        <v>52</v>
      </c>
      <c r="F29" s="11" t="n">
        <v>355</v>
      </c>
      <c r="G29" s="11" t="n">
        <v>18460</v>
      </c>
      <c r="H29" s="11" t="n">
        <v>3322.8</v>
      </c>
      <c r="I29" s="11" t="n">
        <v>21782.8</v>
      </c>
      <c r="J29" s="22" t="inlineStr">
        <is>
          <t>Approved</t>
        </is>
      </c>
    </row>
    <row r="30">
      <c r="A30" s="22" t="inlineStr">
        <is>
          <t>INV-2026-1032</t>
        </is>
      </c>
      <c r="B30" s="22" t="inlineStr">
        <is>
          <t>VND-1006</t>
        </is>
      </c>
      <c r="C30" s="22" t="inlineStr">
        <is>
          <t>Falcon Facility Services</t>
        </is>
      </c>
      <c r="D30" s="23" t="n">
        <v>46281</v>
      </c>
      <c r="E30" s="24" t="n">
        <v>7</v>
      </c>
      <c r="F30" s="11" t="n">
        <v>94.75</v>
      </c>
      <c r="G30" s="11" t="n">
        <v>663.25</v>
      </c>
      <c r="H30" s="11" t="n">
        <v>119.38</v>
      </c>
      <c r="I30" s="11" t="n">
        <v>782.63</v>
      </c>
      <c r="J30" s="22" t="inlineStr">
        <is>
          <t>Approved</t>
        </is>
      </c>
    </row>
    <row r="31">
      <c r="A31" s="22" t="inlineStr">
        <is>
          <t>INV-2026-1033</t>
        </is>
      </c>
      <c r="B31" s="22" t="inlineStr">
        <is>
          <t>VND-1005</t>
        </is>
      </c>
      <c r="C31" s="22" t="inlineStr">
        <is>
          <t>Pinnacle Marketing Group</t>
        </is>
      </c>
      <c r="D31" s="23" t="n">
        <v>46273</v>
      </c>
      <c r="E31" s="24" t="n">
        <v>12</v>
      </c>
      <c r="F31" s="11" t="n">
        <v>146.35</v>
      </c>
      <c r="G31" s="11" t="n">
        <v>1756.2</v>
      </c>
      <c r="H31" s="11" t="n">
        <v>316.12</v>
      </c>
      <c r="I31" s="11" t="n">
        <v>2072.32</v>
      </c>
      <c r="J31" s="22" t="inlineStr">
        <is>
          <t>Approved</t>
        </is>
      </c>
    </row>
    <row r="32">
      <c r="A32" s="22" t="inlineStr">
        <is>
          <t>INV-2026-1034</t>
        </is>
      </c>
      <c r="B32" s="22" t="inlineStr">
        <is>
          <t>VND-1002</t>
        </is>
      </c>
      <c r="C32" s="22" t="inlineStr">
        <is>
          <t>Sterling Tech Solutions</t>
        </is>
      </c>
      <c r="D32" s="23" t="n">
        <v>46289</v>
      </c>
      <c r="E32" s="24" t="n">
        <v>67</v>
      </c>
      <c r="F32" s="11" t="n">
        <v>376.41</v>
      </c>
      <c r="G32" s="11" t="n">
        <v>25219.47</v>
      </c>
      <c r="H32" s="11" t="n">
        <v>4539.5</v>
      </c>
      <c r="I32" s="11" t="n">
        <v>29758.97</v>
      </c>
      <c r="J32" s="22" t="inlineStr">
        <is>
          <t>Approved</t>
        </is>
      </c>
    </row>
    <row r="33">
      <c r="A33" s="22" t="inlineStr">
        <is>
          <t>INV-2026-1035</t>
        </is>
      </c>
      <c r="B33" s="22" t="inlineStr">
        <is>
          <t>VND-1003</t>
        </is>
      </c>
      <c r="C33" s="22" t="inlineStr">
        <is>
          <t>Beacon Office Supplies</t>
        </is>
      </c>
      <c r="D33" s="23" t="n">
        <v>46287</v>
      </c>
      <c r="E33" s="24" t="n">
        <v>65</v>
      </c>
      <c r="F33" s="11" t="n">
        <v>428.74</v>
      </c>
      <c r="G33" s="11" t="n">
        <v>27868.1</v>
      </c>
      <c r="H33" s="11" t="n">
        <v>5016.26</v>
      </c>
      <c r="I33" s="11" t="n">
        <v>32884.36</v>
      </c>
      <c r="J33" s="22" t="inlineStr">
        <is>
          <t>Approved</t>
        </is>
      </c>
    </row>
    <row r="34">
      <c r="A34" s="22" t="inlineStr">
        <is>
          <t>INV-2026-1036</t>
        </is>
      </c>
      <c r="B34" s="22" t="inlineStr">
        <is>
          <t>VND-1005</t>
        </is>
      </c>
      <c r="C34" s="22" t="inlineStr">
        <is>
          <t>Pinnacle Marketing Group</t>
        </is>
      </c>
      <c r="D34" s="23" t="n">
        <v>46282</v>
      </c>
      <c r="E34" s="24" t="n">
        <v>82</v>
      </c>
      <c r="F34" s="11" t="n">
        <v>219.26</v>
      </c>
      <c r="G34" s="11" t="n">
        <v>17979.32</v>
      </c>
      <c r="H34" s="11" t="n">
        <v>3236.28</v>
      </c>
      <c r="I34" s="11" t="n">
        <v>21215.6</v>
      </c>
      <c r="J34" s="22" t="inlineStr">
        <is>
          <t>Approved</t>
        </is>
      </c>
    </row>
    <row r="35">
      <c r="A35" s="22" t="inlineStr">
        <is>
          <t>INV-2026-1037</t>
        </is>
      </c>
      <c r="B35" s="22" t="inlineStr">
        <is>
          <t>VND-1004</t>
        </is>
      </c>
      <c r="C35" s="22" t="inlineStr">
        <is>
          <t>Zenith Industrial Parts</t>
        </is>
      </c>
      <c r="D35" s="23" t="n">
        <v>46288</v>
      </c>
      <c r="E35" s="24" t="n">
        <v>44</v>
      </c>
      <c r="F35" s="11" t="n">
        <v>199.12</v>
      </c>
      <c r="G35" s="11" t="n">
        <v>8761.280000000001</v>
      </c>
      <c r="H35" s="11" t="n">
        <v>1577.03</v>
      </c>
      <c r="I35" s="11" t="n">
        <v>10338.31</v>
      </c>
      <c r="J35" s="22" t="inlineStr">
        <is>
          <t>Rate Disputed</t>
        </is>
      </c>
    </row>
    <row r="36">
      <c r="A36" s="22" t="inlineStr">
        <is>
          <t>INV-2026-1038</t>
        </is>
      </c>
      <c r="B36" s="22" t="inlineStr">
        <is>
          <t>VND-1006</t>
        </is>
      </c>
      <c r="C36" s="22" t="inlineStr">
        <is>
          <t>Falcon Facility Services</t>
        </is>
      </c>
      <c r="D36" s="23" t="n">
        <v>46280</v>
      </c>
      <c r="E36" s="24" t="n">
        <v>68</v>
      </c>
      <c r="F36" s="11" t="n">
        <v>230.59</v>
      </c>
      <c r="G36" s="11" t="n">
        <v>15680.12</v>
      </c>
      <c r="H36" s="11" t="n">
        <v>2822.42</v>
      </c>
      <c r="I36" s="11" t="n">
        <v>18502.54</v>
      </c>
      <c r="J36" s="22" t="inlineStr">
        <is>
          <t>Short-Shipment Logged</t>
        </is>
      </c>
    </row>
    <row r="37">
      <c r="A37" s="22" t="inlineStr">
        <is>
          <t>INV-2026-1040</t>
        </is>
      </c>
      <c r="B37" s="22" t="inlineStr">
        <is>
          <t>VND-1004</t>
        </is>
      </c>
      <c r="C37" s="22" t="inlineStr">
        <is>
          <t>Zenith Industrial Parts</t>
        </is>
      </c>
      <c r="D37" s="23" t="n">
        <v>46284</v>
      </c>
      <c r="E37" s="24" t="n">
        <v>33</v>
      </c>
      <c r="F37" s="11" t="n">
        <v>52.88</v>
      </c>
      <c r="G37" s="11" t="n">
        <v>1745.04</v>
      </c>
      <c r="H37" s="11" t="n">
        <v>314.11</v>
      </c>
      <c r="I37" s="11" t="n">
        <v>2059.15</v>
      </c>
      <c r="J37" s="22" t="inlineStr">
        <is>
          <t>Pending Clearance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7" customWidth="1" min="3" max="3"/>
    <col width="23" customWidth="1" min="4" max="4"/>
    <col width="21" customWidth="1" min="5" max="5"/>
  </cols>
  <sheetData>
    <row r="1">
      <c r="A1" s="7" t="inlineStr">
        <is>
          <t>Bank Transaction ID</t>
        </is>
      </c>
      <c r="B1" s="7" t="inlineStr">
        <is>
          <t>Invoice Reference</t>
        </is>
      </c>
      <c r="C1" s="7" t="inlineStr">
        <is>
          <t>Clearance Date</t>
        </is>
      </c>
      <c r="D1" s="7" t="inlineStr">
        <is>
          <t>Disbursed Amount ($)</t>
        </is>
      </c>
      <c r="E1" s="7" t="inlineStr">
        <is>
          <t>Bank Status</t>
        </is>
      </c>
    </row>
    <row r="2">
      <c r="A2" s="22" t="inlineStr">
        <is>
          <t>TXN-BNK-80001</t>
        </is>
      </c>
      <c r="B2" s="22" t="inlineStr">
        <is>
          <t>INV-2026-1001</t>
        </is>
      </c>
      <c r="C2" s="23" t="n">
        <v>46283</v>
      </c>
      <c r="D2" s="11" t="n">
        <v>18692.37</v>
      </c>
      <c r="E2" s="22" t="inlineStr">
        <is>
          <t>Settled</t>
        </is>
      </c>
    </row>
    <row r="3">
      <c r="A3" s="22" t="inlineStr">
        <is>
          <t>TXN-BNK-80002</t>
        </is>
      </c>
      <c r="B3" s="22" t="inlineStr">
        <is>
          <t>INV-2026-1002</t>
        </is>
      </c>
      <c r="C3" s="23" t="n">
        <v>46301</v>
      </c>
      <c r="D3" s="11" t="n">
        <v>6811.24</v>
      </c>
      <c r="E3" s="22" t="inlineStr">
        <is>
          <t>Settled</t>
        </is>
      </c>
    </row>
    <row r="4">
      <c r="A4" s="22" t="inlineStr">
        <is>
          <t>TXN-BNK-80003</t>
        </is>
      </c>
      <c r="B4" s="22" t="inlineStr">
        <is>
          <t>INV-2026-1003</t>
        </is>
      </c>
      <c r="C4" s="23" t="n">
        <v>46284</v>
      </c>
      <c r="D4" s="11" t="n">
        <v>825.8099999999999</v>
      </c>
      <c r="E4" s="22" t="inlineStr">
        <is>
          <t>Settled</t>
        </is>
      </c>
    </row>
    <row r="5">
      <c r="A5" s="22" t="inlineStr">
        <is>
          <t>TXN-BNK-80004</t>
        </is>
      </c>
      <c r="B5" s="22" t="inlineStr">
        <is>
          <t>INV-2026-1004</t>
        </is>
      </c>
      <c r="C5" s="23" t="n">
        <v>46306</v>
      </c>
      <c r="D5" s="11" t="n">
        <v>11908.91</v>
      </c>
      <c r="E5" s="22" t="inlineStr">
        <is>
          <t>Settled</t>
        </is>
      </c>
    </row>
    <row r="6">
      <c r="A6" s="22" t="inlineStr">
        <is>
          <t>TXN-BNK-80005</t>
        </is>
      </c>
      <c r="B6" s="22" t="inlineStr">
        <is>
          <t>INV-2026-1005</t>
        </is>
      </c>
      <c r="C6" s="23" t="n">
        <v>46290</v>
      </c>
      <c r="D6" s="11" t="n">
        <v>15224.83</v>
      </c>
      <c r="E6" s="22" t="inlineStr">
        <is>
          <t>Settled</t>
        </is>
      </c>
    </row>
    <row r="7">
      <c r="A7" s="22" t="inlineStr">
        <is>
          <t>TXN-BNK-80006</t>
        </is>
      </c>
      <c r="B7" s="22" t="inlineStr">
        <is>
          <t>INV-2026-1006</t>
        </is>
      </c>
      <c r="C7" s="23" t="n">
        <v>46302</v>
      </c>
      <c r="D7" s="11" t="n">
        <v>12956.28</v>
      </c>
      <c r="E7" s="22" t="inlineStr">
        <is>
          <t>Settled</t>
        </is>
      </c>
    </row>
    <row r="8">
      <c r="A8" s="22" t="inlineStr">
        <is>
          <t>TXN-BNK-80007</t>
        </is>
      </c>
      <c r="B8" s="22" t="inlineStr">
        <is>
          <t>INV-2026-1007</t>
        </is>
      </c>
      <c r="C8" s="23" t="n">
        <v>46311</v>
      </c>
      <c r="D8" s="11" t="n">
        <v>4890.3</v>
      </c>
      <c r="E8" s="22" t="inlineStr">
        <is>
          <t>Partial Settlement</t>
        </is>
      </c>
    </row>
    <row r="9">
      <c r="A9" s="22" t="inlineStr">
        <is>
          <t>TXN-BNK-80008</t>
        </is>
      </c>
      <c r="B9" s="22" t="inlineStr">
        <is>
          <t>INV-2026-1008</t>
        </is>
      </c>
      <c r="C9" s="23" t="n">
        <v>46287</v>
      </c>
      <c r="D9" s="11" t="n">
        <v>21114.92</v>
      </c>
      <c r="E9" s="22" t="inlineStr">
        <is>
          <t>Under Review</t>
        </is>
      </c>
    </row>
    <row r="10">
      <c r="A10" s="22" t="inlineStr">
        <is>
          <t>TXN-BNK-80011</t>
        </is>
      </c>
      <c r="B10" s="22" t="inlineStr">
        <is>
          <t>INV-2026-1011</t>
        </is>
      </c>
      <c r="C10" s="23" t="n">
        <v>46295</v>
      </c>
      <c r="D10" s="11" t="n">
        <v>11355.22</v>
      </c>
      <c r="E10" s="22" t="inlineStr">
        <is>
          <t>Settled</t>
        </is>
      </c>
    </row>
    <row r="11">
      <c r="A11" s="22" t="inlineStr">
        <is>
          <t>TXN-BNK-80012</t>
        </is>
      </c>
      <c r="B11" s="22" t="inlineStr">
        <is>
          <t>INV-2026-1012</t>
        </is>
      </c>
      <c r="C11" s="23" t="n">
        <v>46307</v>
      </c>
      <c r="D11" s="11" t="n">
        <v>22009.1</v>
      </c>
      <c r="E11" s="22" t="inlineStr">
        <is>
          <t>Settled</t>
        </is>
      </c>
    </row>
    <row r="12">
      <c r="A12" s="22" t="inlineStr">
        <is>
          <t>TXN-BNK-80013</t>
        </is>
      </c>
      <c r="B12" s="22" t="inlineStr">
        <is>
          <t>INV-2026-1013</t>
        </is>
      </c>
      <c r="C12" s="23" t="n">
        <v>46299</v>
      </c>
      <c r="D12" s="11" t="n">
        <v>10920.19</v>
      </c>
      <c r="E12" s="22" t="inlineStr">
        <is>
          <t>Settled</t>
        </is>
      </c>
    </row>
    <row r="13">
      <c r="A13" s="22" t="inlineStr">
        <is>
          <t>TXN-BNK-80014</t>
        </is>
      </c>
      <c r="B13" s="22" t="inlineStr">
        <is>
          <t>INV-2026-1014</t>
        </is>
      </c>
      <c r="C13" s="23" t="n">
        <v>46295</v>
      </c>
      <c r="D13" s="11" t="n">
        <v>7894.2</v>
      </c>
      <c r="E13" s="22" t="inlineStr">
        <is>
          <t>Settled</t>
        </is>
      </c>
    </row>
    <row r="14">
      <c r="A14" s="22" t="inlineStr">
        <is>
          <t>TXN-BNK-80015</t>
        </is>
      </c>
      <c r="B14" s="22" t="inlineStr">
        <is>
          <t>INV-2026-1015</t>
        </is>
      </c>
      <c r="C14" s="23" t="n">
        <v>46302</v>
      </c>
      <c r="D14" s="11" t="n">
        <v>12021.32</v>
      </c>
      <c r="E14" s="22" t="inlineStr">
        <is>
          <t>Settled</t>
        </is>
      </c>
    </row>
    <row r="15">
      <c r="A15" s="22" t="inlineStr">
        <is>
          <t>TXN-BNK-80016</t>
        </is>
      </c>
      <c r="B15" s="22" t="inlineStr">
        <is>
          <t>INV-2026-1016</t>
        </is>
      </c>
      <c r="C15" s="23" t="n">
        <v>46297</v>
      </c>
      <c r="D15" s="11" t="n">
        <v>9880.07</v>
      </c>
      <c r="E15" s="22" t="inlineStr">
        <is>
          <t>Settled</t>
        </is>
      </c>
    </row>
    <row r="16">
      <c r="A16" s="22" t="inlineStr">
        <is>
          <t>TXN-BNK-80017</t>
        </is>
      </c>
      <c r="B16" s="22" t="inlineStr">
        <is>
          <t>INV-2026-1017</t>
        </is>
      </c>
      <c r="C16" s="23" t="n">
        <v>46307</v>
      </c>
      <c r="D16" s="11" t="n">
        <v>1905.09</v>
      </c>
      <c r="E16" s="22" t="inlineStr">
        <is>
          <t>Partial Settlement</t>
        </is>
      </c>
    </row>
    <row r="17">
      <c r="A17" s="22" t="inlineStr">
        <is>
          <t>TXN-BNK-80018</t>
        </is>
      </c>
      <c r="B17" s="22" t="inlineStr">
        <is>
          <t>INV-2026-1018</t>
        </is>
      </c>
      <c r="C17" s="23" t="n">
        <v>46309</v>
      </c>
      <c r="D17" s="11" t="n">
        <v>10679.25</v>
      </c>
      <c r="E17" s="22" t="inlineStr">
        <is>
          <t>Under Review</t>
        </is>
      </c>
    </row>
    <row r="18">
      <c r="A18" s="22" t="inlineStr">
        <is>
          <t>TXN-BNK-80021</t>
        </is>
      </c>
      <c r="B18" s="22" t="inlineStr">
        <is>
          <t>INV-2026-1021</t>
        </is>
      </c>
      <c r="C18" s="23" t="n">
        <v>46288</v>
      </c>
      <c r="D18" s="11" t="n">
        <v>4746.31</v>
      </c>
      <c r="E18" s="22" t="inlineStr">
        <is>
          <t>Settled</t>
        </is>
      </c>
    </row>
    <row r="19">
      <c r="A19" s="22" t="inlineStr">
        <is>
          <t>TXN-BNK-80022</t>
        </is>
      </c>
      <c r="B19" s="22" t="inlineStr">
        <is>
          <t>INV-2026-1022</t>
        </is>
      </c>
      <c r="C19" s="23" t="n">
        <v>46311</v>
      </c>
      <c r="D19" s="11" t="n">
        <v>19553.83</v>
      </c>
      <c r="E19" s="22" t="inlineStr">
        <is>
          <t>Settled</t>
        </is>
      </c>
    </row>
    <row r="20">
      <c r="A20" s="22" t="inlineStr">
        <is>
          <t>TXN-BNK-80023</t>
        </is>
      </c>
      <c r="B20" s="22" t="inlineStr">
        <is>
          <t>INV-2026-1023</t>
        </is>
      </c>
      <c r="C20" s="23" t="n">
        <v>46293</v>
      </c>
      <c r="D20" s="11" t="n">
        <v>6929.53</v>
      </c>
      <c r="E20" s="22" t="inlineStr">
        <is>
          <t>Settled</t>
        </is>
      </c>
    </row>
    <row r="21">
      <c r="A21" s="22" t="inlineStr">
        <is>
          <t>TXN-BNK-80024</t>
        </is>
      </c>
      <c r="B21" s="22" t="inlineStr">
        <is>
          <t>INV-2026-1024</t>
        </is>
      </c>
      <c r="C21" s="23" t="n">
        <v>46293</v>
      </c>
      <c r="D21" s="11" t="n">
        <v>11433.2</v>
      </c>
      <c r="E21" s="22" t="inlineStr">
        <is>
          <t>Settled</t>
        </is>
      </c>
    </row>
    <row r="22">
      <c r="A22" s="22" t="inlineStr">
        <is>
          <t>TXN-BNK-80025</t>
        </is>
      </c>
      <c r="B22" s="22" t="inlineStr">
        <is>
          <t>INV-2026-1025</t>
        </is>
      </c>
      <c r="C22" s="23" t="n">
        <v>46302</v>
      </c>
      <c r="D22" s="11" t="n">
        <v>18034.03</v>
      </c>
      <c r="E22" s="22" t="inlineStr">
        <is>
          <t>Settled</t>
        </is>
      </c>
    </row>
    <row r="23">
      <c r="A23" s="22" t="inlineStr">
        <is>
          <t>TXN-BNK-80026</t>
        </is>
      </c>
      <c r="B23" s="22" t="inlineStr">
        <is>
          <t>INV-2026-1026</t>
        </is>
      </c>
      <c r="C23" s="23" t="n">
        <v>46296</v>
      </c>
      <c r="D23" s="11" t="n">
        <v>2280.54</v>
      </c>
      <c r="E23" s="22" t="inlineStr">
        <is>
          <t>Settled</t>
        </is>
      </c>
    </row>
    <row r="24">
      <c r="A24" s="22" t="inlineStr">
        <is>
          <t>TXN-BNK-80027</t>
        </is>
      </c>
      <c r="B24" s="22" t="inlineStr">
        <is>
          <t>INV-2026-1027</t>
        </is>
      </c>
      <c r="C24" s="23" t="n">
        <v>46305</v>
      </c>
      <c r="D24" s="11" t="n">
        <v>18147.21</v>
      </c>
      <c r="E24" s="22" t="inlineStr">
        <is>
          <t>Partial Settlement</t>
        </is>
      </c>
    </row>
    <row r="25">
      <c r="A25" s="22" t="inlineStr">
        <is>
          <t>TXN-BNK-80028</t>
        </is>
      </c>
      <c r="B25" s="22" t="inlineStr">
        <is>
          <t>INV-2026-1028</t>
        </is>
      </c>
      <c r="C25" s="23" t="n">
        <v>46297</v>
      </c>
      <c r="D25" s="11" t="n">
        <v>5736.32</v>
      </c>
      <c r="E25" s="22" t="inlineStr">
        <is>
          <t>Under Review</t>
        </is>
      </c>
    </row>
    <row r="26">
      <c r="A26" s="22" t="inlineStr">
        <is>
          <t>TXN-BNK-80031</t>
        </is>
      </c>
      <c r="B26" s="22" t="inlineStr">
        <is>
          <t>INV-2026-1031</t>
        </is>
      </c>
      <c r="C26" s="23" t="n">
        <v>46280</v>
      </c>
      <c r="D26" s="11" t="n">
        <v>21782.8</v>
      </c>
      <c r="E26" s="22" t="inlineStr">
        <is>
          <t>Settled</t>
        </is>
      </c>
    </row>
    <row r="27">
      <c r="A27" s="22" t="inlineStr">
        <is>
          <t>TXN-BNK-80032</t>
        </is>
      </c>
      <c r="B27" s="22" t="inlineStr">
        <is>
          <t>INV-2026-1032</t>
        </is>
      </c>
      <c r="C27" s="23" t="n">
        <v>46302</v>
      </c>
      <c r="D27" s="11" t="n">
        <v>782.63</v>
      </c>
      <c r="E27" s="22" t="inlineStr">
        <is>
          <t>Settled</t>
        </is>
      </c>
    </row>
    <row r="28">
      <c r="A28" s="22" t="inlineStr">
        <is>
          <t>TXN-BNK-80033</t>
        </is>
      </c>
      <c r="B28" s="22" t="inlineStr">
        <is>
          <t>INV-2026-1033</t>
        </is>
      </c>
      <c r="C28" s="23" t="n">
        <v>46285</v>
      </c>
      <c r="D28" s="11" t="n">
        <v>2072.32</v>
      </c>
      <c r="E28" s="22" t="inlineStr">
        <is>
          <t>Settled</t>
        </is>
      </c>
    </row>
    <row r="29">
      <c r="A29" s="22" t="inlineStr">
        <is>
          <t>TXN-BNK-80034</t>
        </is>
      </c>
      <c r="B29" s="22" t="inlineStr">
        <is>
          <t>INV-2026-1034</t>
        </is>
      </c>
      <c r="C29" s="23" t="n">
        <v>46303</v>
      </c>
      <c r="D29" s="11" t="n">
        <v>29758.97</v>
      </c>
      <c r="E29" s="22" t="inlineStr">
        <is>
          <t>Settled</t>
        </is>
      </c>
    </row>
    <row r="30">
      <c r="A30" s="22" t="inlineStr">
        <is>
          <t>TXN-BNK-80035</t>
        </is>
      </c>
      <c r="B30" s="22" t="inlineStr">
        <is>
          <t>INV-2026-1035</t>
        </is>
      </c>
      <c r="C30" s="23" t="n">
        <v>46302</v>
      </c>
      <c r="D30" s="11" t="n">
        <v>32884.36</v>
      </c>
      <c r="E30" s="22" t="inlineStr">
        <is>
          <t>Settled</t>
        </is>
      </c>
    </row>
    <row r="31">
      <c r="A31" s="22" t="inlineStr">
        <is>
          <t>TXN-BNK-80036</t>
        </is>
      </c>
      <c r="B31" s="22" t="inlineStr">
        <is>
          <t>INV-2026-1036</t>
        </is>
      </c>
      <c r="C31" s="23" t="n">
        <v>46298</v>
      </c>
      <c r="D31" s="11" t="n">
        <v>21215.6</v>
      </c>
      <c r="E31" s="22" t="inlineStr">
        <is>
          <t>Settled</t>
        </is>
      </c>
    </row>
    <row r="32">
      <c r="A32" s="22" t="inlineStr">
        <is>
          <t>TXN-BNK-80037</t>
        </is>
      </c>
      <c r="B32" s="22" t="inlineStr">
        <is>
          <t>INV-2026-1037</t>
        </is>
      </c>
      <c r="C32" s="23" t="n">
        <v>46303</v>
      </c>
      <c r="D32" s="11" t="n">
        <v>10338.31</v>
      </c>
      <c r="E32" s="22" t="inlineStr">
        <is>
          <t>Partial Settlement</t>
        </is>
      </c>
    </row>
    <row r="33">
      <c r="A33" s="22" t="inlineStr">
        <is>
          <t>TXN-BNK-80038</t>
        </is>
      </c>
      <c r="B33" s="22" t="inlineStr">
        <is>
          <t>INV-2026-1038</t>
        </is>
      </c>
      <c r="C33" s="23" t="n">
        <v>46298</v>
      </c>
      <c r="D33" s="11" t="n">
        <v>18502.54</v>
      </c>
      <c r="E33" s="22" t="inlineStr">
        <is>
          <t>Under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2026-10-23T04:41:25Z</dcterms:created>
  <dcterms:modified xmlns:dcterms="http://purl.org/dc/terms/" xmlns:xsi="http://www.w3.org/2001/XMLSchema-instance" xsi:type="dcterms:W3CDTF">2026-10-23T04:41:25Z</dcterms:modified>
</cp:coreProperties>
</file>